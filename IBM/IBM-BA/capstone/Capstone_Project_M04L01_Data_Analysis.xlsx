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d20405f51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9fd6482f819f4e4f"/>
    <x:sheet xmlns:r="http://schemas.openxmlformats.org/officeDocument/2006/relationships" name="Raw_Appointment" sheetId="2" r:id="Rd2965e0df1e04377"/>
    <x:sheet xmlns:r="http://schemas.openxmlformats.org/officeDocument/2006/relationships" name="Raw_Feedback" sheetId="3" r:id="Rb1fb6416d27444dc"/>
    <x:sheet xmlns:r="http://schemas.openxmlformats.org/officeDocument/2006/relationships" name="Raw_Resource" sheetId="4" r:id="R0ac2d5cd5543456a"/>
    <x:sheet xmlns:r="http://schemas.openxmlformats.org/officeDocument/2006/relationships" name="Cleaned_Appointment" sheetId="5" r:id="Rae193c35dca54ef0"/>
    <x:sheet xmlns:r="http://schemas.openxmlformats.org/officeDocument/2006/relationships" name="Cleaned_Feedback" sheetId="6" r:id="R1bb09a165bdb40a1"/>
    <x:sheet xmlns:r="http://schemas.openxmlformats.org/officeDocument/2006/relationships" name="Cleaned_Resource" sheetId="7" r:id="R5c72b83888cf4301"/>
    <x:sheet xmlns:r="http://schemas.openxmlformats.org/officeDocument/2006/relationships" name="Pivot_Appointments" sheetId="8" r:id="R53c0bf63513f4dfc"/>
    <x:sheet xmlns:r="http://schemas.openxmlformats.org/officeDocument/2006/relationships" name="Pivot_Feedback" sheetId="9" r:id="R7f66e35e2a4247f4"/>
    <x:sheet xmlns:r="http://schemas.openxmlformats.org/officeDocument/2006/relationships" name="Pivot_Resources" sheetId="10" r:id="Rfa641fafc9d04c71"/>
    <x:sheet xmlns:r="http://schemas.openxmlformats.org/officeDocument/2006/relationships" name="Dashboard" sheetId="11" r:id="R2dc2009f893f41f9"/>
    <x:sheet xmlns:r="http://schemas.openxmlformats.org/officeDocument/2006/relationships" name="Data_Quality" sheetId="12" r:id="R51a9861a8af749a4"/>
    <x:sheet xmlns:r="http://schemas.openxmlformats.org/officeDocument/2006/relationships" name="Lookups" sheetId="13" r:id="R22529c1f8d8f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mm/dd/yyyy"/>
    <x:numFmt numFmtId="202" formatCode="hh:mm AM/PM"/>
    <x:numFmt numFmtId="203" formatCode="mm/dd/yyyy hh:mm AM/PM"/>
    <x:numFmt numFmtId="204" formatCode="0.0"/>
    <x:numFmt numFmtId="205" formatCode="0.0%"/>
    <x:numFmt numFmtId="206" formatCode="0.00"/>
    <x:numFmt numFmtId="207" formatCode="General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4500"/>
      <x:name val="Carlito"/>
    </x:font>
    <x:font>
      <x:b/>
      <x:sz val="11"/>
      <x:color rgb="FFFFFFFF"/>
      <x:name val="Carlito"/>
    </x:font>
    <x:font>
      <x:sz val="11"/>
      <x:color rgb="FF17451F"/>
      <x:name val="Carlito"/>
    </x:font>
    <x:font>
      <x:i/>
      <x:sz val="10"/>
      <x:color rgb="FF123057"/>
      <x:name val="Carlito"/>
    </x:font>
    <x:font>
      <x:b/>
      <x:sz val="11"/>
      <x:color rgb="FF5F4500"/>
      <x:name val="Carlito"/>
    </x:font>
    <x:font>
      <x:b/>
      <x:sz val="11"/>
      <x:color rgb="FF123057"/>
      <x:name val="Carlito"/>
    </x:font>
    <x:font>
      <x:i/>
      <x:sz val="11"/>
      <x:color rgb="FF123057"/>
      <x:name val="Carlito"/>
    </x:font>
    <x:font>
      <x:b/>
      <x:sz val="18"/>
      <x:color rgb="FF1230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6B6D"/>
      </x:patternFill>
    </x:fill>
    <x:fill>
      <x:patternFill patternType="solid">
        <x:fgColor rgb="FFFFF4CE"/>
      </x:patternFill>
    </x:fill>
    <x:fill>
      <x:patternFill patternType="solid">
        <x:fgColor rgb="FF1F4E78"/>
      </x:patternFill>
    </x:fill>
    <x:fill>
      <x:patternFill patternType="solid">
        <x:fgColor rgb="FFE6F4EA"/>
      </x:patternFill>
    </x:fill>
    <x:fill>
      <x:patternFill patternType="solid">
        <x:fgColor rgb="FFE8F1FF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40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163A5B"/>
      </x:left>
      <x:top style="thin">
        <x:color rgb="FF163A5B"/>
      </x:top>
      <x:bottom style="thin">
        <x:color rgb="FF163A5B"/>
      </x:bottom>
    </x:border>
    <x:border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left style="thin">
        <x:color rgb="FF7AAA83"/>
      </x:left>
      <x:top style="thin">
        <x:color rgb="FF7AAA83"/>
      </x:top>
    </x:border>
    <x:border>
      <x:top style="thin">
        <x:color rgb="FF7AAA83"/>
      </x:top>
    </x:border>
    <x:border>
      <x:right style="thin">
        <x:color rgb="FF7AAA83"/>
      </x:right>
      <x:top style="thin">
        <x:color rgb="FF7AAA83"/>
      </x:top>
    </x:border>
    <x:border>
      <x:left style="thin">
        <x:color rgb="FF7AAA83"/>
      </x:left>
    </x:border>
    <x:border>
      <x:right style="thin">
        <x:color rgb="FF7AAA83"/>
      </x:right>
    </x:border>
    <x:border>
      <x:left style="thin">
        <x:color rgb="FF7AAA83"/>
      </x:left>
      <x:bottom style="thin">
        <x:color rgb="FF7AAA83"/>
      </x:bottom>
    </x:border>
    <x:border>
      <x:bottom style="thin">
        <x:color rgb="FF7AAA83"/>
      </x:bottom>
    </x:border>
    <x:border>
      <x:right style="thin">
        <x:color rgb="FF7AAA83"/>
      </x:right>
      <x:bottom style="thin">
        <x:color rgb="FF7AAA83"/>
      </x:bottom>
    </x:border>
    <x:border>
      <x:left style="thin">
        <x:color rgb="FF9DB7D5"/>
      </x:left>
      <x:top style="thin">
        <x:color rgb="FF9DB7D5"/>
      </x:top>
      <x:bottom style="thin">
        <x:color rgb="FF9DB7D5"/>
      </x:bottom>
    </x:border>
    <x:border>
      <x:top style="thin">
        <x:color rgb="FF9DB7D5"/>
      </x:top>
      <x:bottom style="thin">
        <x:color rgb="FF9DB7D5"/>
      </x:bottom>
    </x:border>
    <x:border>
      <x:right style="thin">
        <x:color rgb="FF9DB7D5"/>
      </x:right>
      <x:top style="thin">
        <x:color rgb="FF9DB7D5"/>
      </x:top>
      <x:bottom style="thin">
        <x:color rgb="FF9DB7D5"/>
      </x:bottom>
    </x:border>
    <x:border>
      <x:top style="thin">
        <x:color rgb="FF163A5B"/>
      </x:top>
      <x:bottom style="thin">
        <x:color rgb="FF163A5B"/>
      </x:bottom>
    </x:border>
    <x:border>
      <x:left style="thin">
        <x:color rgb="FF163A5B"/>
      </x:left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medium">
        <x:color rgb="FFA66B00"/>
      </x:left>
      <x:right style="medium">
        <x:color rgb="FFA66B00"/>
      </x:right>
      <x:top style="medium">
        <x:color rgb="FFA66B00"/>
      </x:top>
      <x:bottom style="medium">
        <x:color rgb="FFA66B00"/>
      </x:bottom>
    </x:border>
    <x:border>
      <x:left style="medium">
        <x:color rgb="FF9DB7D5"/>
      </x:left>
      <x:top style="medium">
        <x:color rgb="FF9DB7D5"/>
      </x:top>
    </x:border>
    <x:border>
      <x:top style="medium">
        <x:color rgb="FF9DB7D5"/>
      </x:top>
    </x:border>
    <x:border>
      <x:right style="medium">
        <x:color rgb="FF9DB7D5"/>
      </x:right>
      <x:top style="medium">
        <x:color rgb="FF9DB7D5"/>
      </x:top>
    </x:border>
    <x:border>
      <x:left style="medium">
        <x:color rgb="FF9DB7D5"/>
      </x:left>
      <x:bottom style="medium">
        <x:color rgb="FF9DB7D5"/>
      </x:bottom>
    </x:border>
    <x:border>
      <x:bottom style="medium">
        <x:color rgb="FF9DB7D5"/>
      </x:bottom>
    </x:border>
    <x:border>
      <x:right style="medium">
        <x:color rgb="FF9DB7D5"/>
      </x:right>
      <x:bottom style="medium">
        <x:color rgb="FF9DB7D5"/>
      </x:bottom>
    </x:border>
    <x:border>
      <x:left style="medium">
        <x:color rgb="FFA66B00"/>
      </x:left>
      <x:top style="medium">
        <x:color rgb="FFA66B00"/>
      </x:top>
    </x:border>
    <x:border>
      <x:top style="medium">
        <x:color rgb="FFA66B00"/>
      </x:top>
    </x:border>
    <x:border>
      <x:right style="medium">
        <x:color rgb="FFA66B00"/>
      </x:right>
      <x:top style="medium">
        <x:color rgb="FFA66B00"/>
      </x:top>
    </x:border>
    <x:border>
      <x:left style="medium">
        <x:color rgb="FFA66B00"/>
      </x:left>
    </x:border>
    <x:border>
      <x:right style="medium">
        <x:color rgb="FFA66B00"/>
      </x:right>
    </x:border>
    <x:border>
      <x:left style="medium">
        <x:color rgb="FFA66B00"/>
      </x:left>
      <x:bottom style="medium">
        <x:color rgb="FFA66B00"/>
      </x:bottom>
    </x:border>
    <x:border>
      <x:bottom style="medium">
        <x:color rgb="FFA66B00"/>
      </x:bottom>
    </x:border>
    <x:border>
      <x:right style="medium">
        <x:color rgb="FFA66B00"/>
      </x:right>
      <x:bottom style="medium">
        <x:color rgb="FFA66B00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/>
    <x:xf numFmtId="0" fontId="3" fillId="4" borderId="20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horizont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/>
    <x:xf numFmtId="0" fontId="3" fillId="4" borderId="21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horizont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4" xfId="0" applyNumberFormat="1" applyFont="1" applyFill="1" applyBorder="1"/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7" borderId="0" xfId="0" applyNumberFormat="1" applyFont="1" applyFill="1" applyBorder="1"/>
    <x:xf numFmtId="205" fontId="0" fillId="7" borderId="0" xfId="0" applyNumberFormat="1" applyFont="1" applyFill="1" applyBorder="1"/>
    <x:xf numFmtId="0" fontId="7" fillId="7" borderId="0" xfId="0" applyNumberFormat="1" applyFont="1" applyFill="1" applyBorder="1"/>
    <x:xf numFmtId="205" fontId="7" fillId="7" borderId="0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205" fontId="7" fillId="7" borderId="19" xfId="0" applyNumberFormat="1" applyFont="1" applyFill="1" applyBorder="1"/>
    <x:xf numFmtId="206" fontId="0" fillId="0" borderId="0" xfId="0" applyNumberFormat="1" applyFont="1" applyFill="1" applyBorder="1"/>
    <x:xf numFmtId="0" fontId="6" fillId="3" borderId="25" xfId="0" applyNumberFormat="1" applyFont="1" applyFill="1" applyBorder="1"/>
    <x:xf numFmtId="0" fontId="8" fillId="6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26" xfId="0" applyNumberFormat="1" applyFont="1" applyFill="1" applyBorder="1"/>
    <x:xf numFmtId="0" fontId="9" fillId="8" borderId="27" xfId="0" applyNumberFormat="1" applyFont="1" applyFill="1" applyBorder="1"/>
    <x:xf numFmtId="0" fontId="9" fillId="8" borderId="28" xfId="0" applyNumberFormat="1" applyFont="1" applyFill="1" applyBorder="1"/>
    <x:xf numFmtId="0" fontId="9" fillId="8" borderId="29" xfId="0" applyNumberFormat="1" applyFont="1" applyFill="1" applyBorder="1"/>
    <x:xf numFmtId="0" fontId="9" fillId="8" borderId="30" xfId="0" applyNumberFormat="1" applyFont="1" applyFill="1" applyBorder="1"/>
    <x:xf numFmtId="0" fontId="9" fillId="8" borderId="31" xfId="0" applyNumberFormat="1" applyFont="1" applyFill="1" applyBorder="1"/>
    <x:xf numFmtId="200" fontId="9" fillId="8" borderId="26" xfId="0" applyNumberFormat="1" applyFont="1" applyFill="1" applyBorder="1"/>
    <x:xf numFmtId="200" fontId="9" fillId="8" borderId="27" xfId="0" applyNumberFormat="1" applyFont="1" applyFill="1" applyBorder="1"/>
    <x:xf numFmtId="200" fontId="9" fillId="8" borderId="28" xfId="0" applyNumberFormat="1" applyFont="1" applyFill="1" applyBorder="1"/>
    <x:xf numFmtId="200" fontId="9" fillId="8" borderId="29" xfId="0" applyNumberFormat="1" applyFont="1" applyFill="1" applyBorder="1"/>
    <x:xf numFmtId="200" fontId="9" fillId="8" borderId="30" xfId="0" applyNumberFormat="1" applyFont="1" applyFill="1" applyBorder="1"/>
    <x:xf numFmtId="200" fontId="9" fillId="8" borderId="31" xfId="0" applyNumberFormat="1" applyFont="1" applyFill="1" applyBorder="1"/>
    <x:xf numFmtId="200" fontId="9" fillId="8" borderId="26" xfId="0" applyNumberFormat="1" applyFont="1" applyFill="1" applyBorder="1" applyAlignment="1">
      <x:alignment horizontal="center"/>
    </x:xf>
    <x:xf numFmtId="200" fontId="9" fillId="8" borderId="27" xfId="0" applyNumberFormat="1" applyFont="1" applyFill="1" applyBorder="1" applyAlignment="1">
      <x:alignment horizontal="center"/>
    </x:xf>
    <x:xf numFmtId="200" fontId="9" fillId="8" borderId="28" xfId="0" applyNumberFormat="1" applyFont="1" applyFill="1" applyBorder="1" applyAlignment="1">
      <x:alignment horizontal="center"/>
    </x:xf>
    <x:xf numFmtId="200" fontId="9" fillId="8" borderId="29" xfId="0" applyNumberFormat="1" applyFont="1" applyFill="1" applyBorder="1" applyAlignment="1">
      <x:alignment horizontal="center"/>
    </x:xf>
    <x:xf numFmtId="200" fontId="9" fillId="8" borderId="30" xfId="0" applyNumberFormat="1" applyFont="1" applyFill="1" applyBorder="1" applyAlignment="1">
      <x:alignment horizontal="center"/>
    </x:xf>
    <x:xf numFmtId="200" fontId="9" fillId="8" borderId="31" xfId="0" applyNumberFormat="1" applyFont="1" applyFill="1" applyBorder="1" applyAlignment="1">
      <x:alignment horizontal="center"/>
    </x:xf>
    <x:xf numFmtId="200" fontId="9" fillId="8" borderId="26" xfId="0" applyNumberFormat="1" applyFont="1" applyFill="1" applyBorder="1" applyAlignment="1">
      <x:alignment horizontal="center" vertical="center"/>
    </x:xf>
    <x:xf numFmtId="200" fontId="9" fillId="8" borderId="27" xfId="0" applyNumberFormat="1" applyFont="1" applyFill="1" applyBorder="1" applyAlignment="1">
      <x:alignment horizontal="center" vertical="center"/>
    </x:xf>
    <x:xf numFmtId="200" fontId="9" fillId="8" borderId="28" xfId="0" applyNumberFormat="1" applyFont="1" applyFill="1" applyBorder="1" applyAlignment="1">
      <x:alignment horizontal="center" vertical="center"/>
    </x:xf>
    <x:xf numFmtId="200" fontId="9" fillId="8" borderId="29" xfId="0" applyNumberFormat="1" applyFont="1" applyFill="1" applyBorder="1" applyAlignment="1">
      <x:alignment horizontal="center" vertical="center"/>
    </x:xf>
    <x:xf numFmtId="200" fontId="9" fillId="8" borderId="30" xfId="0" applyNumberFormat="1" applyFont="1" applyFill="1" applyBorder="1" applyAlignment="1">
      <x:alignment horizontal="center" vertical="center"/>
    </x:xf>
    <x:xf numFmtId="200" fontId="9" fillId="8" borderId="31" xfId="0" applyNumberFormat="1" applyFont="1" applyFill="1" applyBorder="1" applyAlignment="1">
      <x:alignment horizontal="center" vertical="center"/>
    </x:xf>
    <x:xf numFmtId="206" fontId="9" fillId="8" borderId="26" xfId="0" applyNumberFormat="1" applyFont="1" applyFill="1" applyBorder="1"/>
    <x:xf numFmtId="206" fontId="9" fillId="8" borderId="27" xfId="0" applyNumberFormat="1" applyFont="1" applyFill="1" applyBorder="1"/>
    <x:xf numFmtId="206" fontId="9" fillId="8" borderId="28" xfId="0" applyNumberFormat="1" applyFont="1" applyFill="1" applyBorder="1"/>
    <x:xf numFmtId="206" fontId="9" fillId="8" borderId="29" xfId="0" applyNumberFormat="1" applyFont="1" applyFill="1" applyBorder="1"/>
    <x:xf numFmtId="206" fontId="9" fillId="8" borderId="30" xfId="0" applyNumberFormat="1" applyFont="1" applyFill="1" applyBorder="1"/>
    <x:xf numFmtId="206" fontId="9" fillId="8" borderId="31" xfId="0" applyNumberFormat="1" applyFont="1" applyFill="1" applyBorder="1"/>
    <x:xf numFmtId="206" fontId="9" fillId="8" borderId="26" xfId="0" applyNumberFormat="1" applyFont="1" applyFill="1" applyBorder="1" applyAlignment="1">
      <x:alignment horizontal="center"/>
    </x:xf>
    <x:xf numFmtId="206" fontId="9" fillId="8" borderId="27" xfId="0" applyNumberFormat="1" applyFont="1" applyFill="1" applyBorder="1" applyAlignment="1">
      <x:alignment horizontal="center"/>
    </x:xf>
    <x:xf numFmtId="206" fontId="9" fillId="8" borderId="28" xfId="0" applyNumberFormat="1" applyFont="1" applyFill="1" applyBorder="1" applyAlignment="1">
      <x:alignment horizontal="center"/>
    </x:xf>
    <x:xf numFmtId="206" fontId="9" fillId="8" borderId="29" xfId="0" applyNumberFormat="1" applyFont="1" applyFill="1" applyBorder="1" applyAlignment="1">
      <x:alignment horizontal="center"/>
    </x:xf>
    <x:xf numFmtId="206" fontId="9" fillId="8" borderId="30" xfId="0" applyNumberFormat="1" applyFont="1" applyFill="1" applyBorder="1" applyAlignment="1">
      <x:alignment horizontal="center"/>
    </x:xf>
    <x:xf numFmtId="206" fontId="9" fillId="8" borderId="31" xfId="0" applyNumberFormat="1" applyFont="1" applyFill="1" applyBorder="1" applyAlignment="1">
      <x:alignment horizontal="center"/>
    </x:xf>
    <x:xf numFmtId="206" fontId="9" fillId="8" borderId="26" xfId="0" applyNumberFormat="1" applyFont="1" applyFill="1" applyBorder="1" applyAlignment="1">
      <x:alignment horizontal="center" vertical="center"/>
    </x:xf>
    <x:xf numFmtId="206" fontId="9" fillId="8" borderId="27" xfId="0" applyNumberFormat="1" applyFont="1" applyFill="1" applyBorder="1" applyAlignment="1">
      <x:alignment horizontal="center" vertical="center"/>
    </x:xf>
    <x:xf numFmtId="206" fontId="9" fillId="8" borderId="28" xfId="0" applyNumberFormat="1" applyFont="1" applyFill="1" applyBorder="1" applyAlignment="1">
      <x:alignment horizontal="center" vertical="center"/>
    </x:xf>
    <x:xf numFmtId="206" fontId="9" fillId="8" borderId="29" xfId="0" applyNumberFormat="1" applyFont="1" applyFill="1" applyBorder="1" applyAlignment="1">
      <x:alignment horizontal="center" vertical="center"/>
    </x:xf>
    <x:xf numFmtId="206" fontId="9" fillId="8" borderId="30" xfId="0" applyNumberFormat="1" applyFont="1" applyFill="1" applyBorder="1" applyAlignment="1">
      <x:alignment horizontal="center" vertical="center"/>
    </x:xf>
    <x:xf numFmtId="206" fontId="9" fillId="8" borderId="31" xfId="0" applyNumberFormat="1" applyFont="1" applyFill="1" applyBorder="1" applyAlignment="1">
      <x:alignment horizontal="center" vertical="center"/>
    </x:xf>
    <x:xf numFmtId="207" fontId="9" fillId="8" borderId="26" xfId="0" applyNumberFormat="1" applyFont="1" applyFill="1" applyBorder="1"/>
    <x:xf numFmtId="207" fontId="9" fillId="8" borderId="27" xfId="0" applyNumberFormat="1" applyFont="1" applyFill="1" applyBorder="1"/>
    <x:xf numFmtId="207" fontId="9" fillId="8" borderId="28" xfId="0" applyNumberFormat="1" applyFont="1" applyFill="1" applyBorder="1"/>
    <x:xf numFmtId="207" fontId="9" fillId="8" borderId="29" xfId="0" applyNumberFormat="1" applyFont="1" applyFill="1" applyBorder="1"/>
    <x:xf numFmtId="207" fontId="9" fillId="8" borderId="30" xfId="0" applyNumberFormat="1" applyFont="1" applyFill="1" applyBorder="1"/>
    <x:xf numFmtId="207" fontId="9" fillId="8" borderId="31" xfId="0" applyNumberFormat="1" applyFont="1" applyFill="1" applyBorder="1"/>
    <x:xf numFmtId="207" fontId="9" fillId="8" borderId="26" xfId="0" applyNumberFormat="1" applyFont="1" applyFill="1" applyBorder="1" applyAlignment="1">
      <x:alignment horizontal="center"/>
    </x:xf>
    <x:xf numFmtId="207" fontId="9" fillId="8" borderId="27" xfId="0" applyNumberFormat="1" applyFont="1" applyFill="1" applyBorder="1" applyAlignment="1">
      <x:alignment horizontal="center"/>
    </x:xf>
    <x:xf numFmtId="207" fontId="9" fillId="8" borderId="28" xfId="0" applyNumberFormat="1" applyFont="1" applyFill="1" applyBorder="1" applyAlignment="1">
      <x:alignment horizontal="center"/>
    </x:xf>
    <x:xf numFmtId="207" fontId="9" fillId="8" borderId="29" xfId="0" applyNumberFormat="1" applyFont="1" applyFill="1" applyBorder="1" applyAlignment="1">
      <x:alignment horizontal="center"/>
    </x:xf>
    <x:xf numFmtId="207" fontId="9" fillId="8" borderId="30" xfId="0" applyNumberFormat="1" applyFont="1" applyFill="1" applyBorder="1" applyAlignment="1">
      <x:alignment horizontal="center"/>
    </x:xf>
    <x:xf numFmtId="207" fontId="9" fillId="8" borderId="31" xfId="0" applyNumberFormat="1" applyFont="1" applyFill="1" applyBorder="1" applyAlignment="1">
      <x:alignment horizontal="center"/>
    </x:xf>
    <x:xf numFmtId="207" fontId="9" fillId="8" borderId="26" xfId="0" applyNumberFormat="1" applyFont="1" applyFill="1" applyBorder="1" applyAlignment="1">
      <x:alignment horizontal="center" vertical="center"/>
    </x:xf>
    <x:xf numFmtId="207" fontId="9" fillId="8" borderId="27" xfId="0" applyNumberFormat="1" applyFont="1" applyFill="1" applyBorder="1" applyAlignment="1">
      <x:alignment horizontal="center" vertical="center"/>
    </x:xf>
    <x:xf numFmtId="207" fontId="9" fillId="8" borderId="28" xfId="0" applyNumberFormat="1" applyFont="1" applyFill="1" applyBorder="1" applyAlignment="1">
      <x:alignment horizontal="center" vertical="center"/>
    </x:xf>
    <x:xf numFmtId="207" fontId="9" fillId="8" borderId="29" xfId="0" applyNumberFormat="1" applyFont="1" applyFill="1" applyBorder="1" applyAlignment="1">
      <x:alignment horizontal="center" vertical="center"/>
    </x:xf>
    <x:xf numFmtId="207" fontId="9" fillId="8" borderId="30" xfId="0" applyNumberFormat="1" applyFont="1" applyFill="1" applyBorder="1" applyAlignment="1">
      <x:alignment horizontal="center" vertical="center"/>
    </x:xf>
    <x:xf numFmtId="207" fontId="9" fillId="8" borderId="3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6" fillId="3" borderId="32" xfId="0" applyNumberFormat="1" applyFont="1" applyFill="1" applyBorder="1"/>
    <x:xf numFmtId="0" fontId="6" fillId="3" borderId="33" xfId="0" applyNumberFormat="1" applyFont="1" applyFill="1" applyBorder="1"/>
    <x:xf numFmtId="0" fontId="6" fillId="3" borderId="34" xfId="0" applyNumberFormat="1" applyFont="1" applyFill="1" applyBorder="1"/>
    <x:xf numFmtId="0" fontId="6" fillId="3" borderId="35" xfId="0" applyNumberFormat="1" applyFont="1" applyFill="1" applyBorder="1"/>
    <x:xf numFmtId="0" fontId="6" fillId="3" borderId="36" xfId="0" applyNumberFormat="1" applyFont="1" applyFill="1" applyBorder="1"/>
    <x:xf numFmtId="0" fontId="6" fillId="3" borderId="37" xfId="0" applyNumberFormat="1" applyFont="1" applyFill="1" applyBorder="1"/>
    <x:xf numFmtId="0" fontId="6" fillId="3" borderId="38" xfId="0" applyNumberFormat="1" applyFont="1" applyFill="1" applyBorder="1"/>
    <x:xf numFmtId="0" fontId="6" fillId="3" borderId="39" xfId="0" applyNumberFormat="1" applyFont="1" applyFill="1" applyBorder="1"/>
    <x:xf numFmtId="0" fontId="6" fillId="3" borderId="32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36" xfId="0" applyNumberFormat="1" applyFont="1" applyFill="1" applyBorder="1" applyAlignment="1">
      <x:alignment wrapText="1"/>
    </x:xf>
    <x:xf numFmtId="0" fontId="6" fillId="3" borderId="37" xfId="0" applyNumberFormat="1" applyFont="1" applyFill="1" applyBorder="1" applyAlignment="1">
      <x:alignment wrapText="1"/>
    </x:xf>
    <x:xf numFmtId="0" fontId="6" fillId="3" borderId="38" xfId="0" applyNumberFormat="1" applyFont="1" applyFill="1" applyBorder="1" applyAlignment="1">
      <x:alignment wrapText="1"/>
    </x:xf>
    <x:xf numFmtId="0" fontId="6" fillId="3" borderId="39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vertical="center" wrapText="1"/>
    </x:xf>
    <x:xf numFmtId="0" fontId="6" fillId="3" borderId="33" xfId="0" applyNumberFormat="1" applyFont="1" applyFill="1" applyBorder="1" applyAlignment="1">
      <x:alignment vertical="center" wrapText="1"/>
    </x:xf>
    <x:xf numFmtId="0" fontId="6" fillId="3" borderId="34" xfId="0" applyNumberFormat="1" applyFont="1" applyFill="1" applyBorder="1" applyAlignment="1">
      <x:alignment vertical="center" wrapText="1"/>
    </x:xf>
    <x:xf numFmtId="0" fontId="6" fillId="3" borderId="35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36" xfId="0" applyNumberFormat="1" applyFont="1" applyFill="1" applyBorder="1" applyAlignment="1">
      <x:alignment vertical="center" wrapText="1"/>
    </x:xf>
    <x:xf numFmtId="0" fontId="6" fillId="3" borderId="37" xfId="0" applyNumberFormat="1" applyFont="1" applyFill="1" applyBorder="1" applyAlignment="1">
      <x:alignment vertical="center" wrapText="1"/>
    </x:xf>
    <x:xf numFmtId="0" fontId="6" fillId="3" borderId="38" xfId="0" applyNumberFormat="1" applyFont="1" applyFill="1" applyBorder="1" applyAlignment="1">
      <x:alignment vertical="center" wrapText="1"/>
    </x:xf>
    <x:xf numFmtId="0" fontId="6" fillId="3" borderId="3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7" fillId="7" borderId="17" xfId="0" applyNumberFormat="1" applyFont="1" applyFill="1" applyBorder="1" applyAlignment="1">
      <x:alignment vertical="center"/>
    </x:xf>
    <x:xf numFmtId="0" fontId="7" fillId="7" borderId="18" xfId="0" applyNumberFormat="1" applyFont="1" applyFill="1" applyBorder="1" applyAlignment="1">
      <x:alignment vertical="center"/>
    </x:xf>
    <x:xf numFmtId="205" fontId="7" fillId="7" borderId="19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6" fillId="3" borderId="25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7E9"/>
        </x:patternFill>
      </x:fill>
    </x:dxf>
    <x:dxf>
      <x:font>
        <x:color rgb="FF1B5E20"/>
      </x:font>
      <x:fill>
        <x:patternFill patternType="solid">
          <x:bgColor rgb="FFE6F4EA"/>
        </x:patternFill>
      </x:fill>
    </x:dxf>
    <x:dxf>
      <x:font>
        <x:color rgb="FFB42318"/>
      </x:font>
      <x:fill>
        <x:patternFill patternType="solid">
          <x:bgColor rgb="FFFDE7E9"/>
        </x:patternFill>
      </x:fill>
    </x:dxf>
    <x:dxf>
      <x:font>
        <x:color rgb="FFB42318"/>
      </x:font>
      <x:fill>
        <x:patternFill patternType="solid">
          <x:bgColor rgb="FFFDE7E9"/>
        </x:patternFill>
      </x:fill>
    </x:dxf>
    <x:dxf>
      <x:font>
        <x:b/>
        <x:color rgb="FF5F45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298c8898e41e3" /><Relationship Type="http://schemas.openxmlformats.org/officeDocument/2006/relationships/theme" Target="/xl/theme/theme1.xml" Id="R3f87534730f64146" /><Relationship Type="http://schemas.openxmlformats.org/officeDocument/2006/relationships/sharedStrings" Target="/xl/sharedStrings.xml" Id="R44bf946650e24b75" /><Relationship Type="http://schemas.openxmlformats.org/officeDocument/2006/relationships/worksheet" Target="/xl/worksheets/sheet1.xml" Id="R9fd6482f819f4e4f" /><Relationship Type="http://schemas.openxmlformats.org/officeDocument/2006/relationships/worksheet" Target="/xl/worksheets/sheet2.xml" Id="Rd2965e0df1e04377" /><Relationship Type="http://schemas.openxmlformats.org/officeDocument/2006/relationships/worksheet" Target="/xl/worksheets/sheet3.xml" Id="Rb1fb6416d27444dc" /><Relationship Type="http://schemas.openxmlformats.org/officeDocument/2006/relationships/worksheet" Target="/xl/worksheets/sheet4.xml" Id="R0ac2d5cd5543456a" /><Relationship Type="http://schemas.openxmlformats.org/officeDocument/2006/relationships/worksheet" Target="/xl/worksheets/sheet5.xml" Id="Rae193c35dca54ef0" /><Relationship Type="http://schemas.openxmlformats.org/officeDocument/2006/relationships/worksheet" Target="/xl/worksheets/sheet6.xml" Id="R1bb09a165bdb40a1" /><Relationship Type="http://schemas.openxmlformats.org/officeDocument/2006/relationships/worksheet" Target="/xl/worksheets/sheet7.xml" Id="R5c72b83888cf4301" /><Relationship Type="http://schemas.openxmlformats.org/officeDocument/2006/relationships/worksheet" Target="/xl/worksheets/sheet8.xml" Id="R53c0bf63513f4dfc" /><Relationship Type="http://schemas.openxmlformats.org/officeDocument/2006/relationships/worksheet" Target="/xl/worksheets/sheet9.xml" Id="R7f66e35e2a4247f4" /><Relationship Type="http://schemas.openxmlformats.org/officeDocument/2006/relationships/worksheet" Target="/xl/worksheets/sheet10.xml" Id="Rfa641fafc9d04c71" /><Relationship Type="http://schemas.openxmlformats.org/officeDocument/2006/relationships/worksheet" Target="/xl/worksheets/sheet11.xml" Id="R2dc2009f893f41f9" /><Relationship Type="http://schemas.openxmlformats.org/officeDocument/2006/relationships/worksheet" Target="/xl/worksheets/sheet12.xml" Id="R51a9861a8af749a4" /><Relationship Type="http://schemas.openxmlformats.org/officeDocument/2006/relationships/worksheet" Target="/xl/worksheets/sheet13.xml" Id="R22529c1f8d8f49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b2d797f2ac43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9803686b32048d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35fe6295dea411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f1405bdfa7d43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Appointment Records by Listed Time - All Tied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Appointment Count</c:v>
          </c:tx>
          <c:cat>
            <c:strRef>
              <c:f>'Pivot_Appointments'!$E$5:$E$9</c:f>
              <c:strCache>
                <c:ptCount val="0"/>
              </c:strCache>
            </c:strRef>
          </c:cat>
          <c:val>
            <c:numRef>
              <c:f>'Pivot_Appointments'!$F$5:$F$9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Recorded Satisfaction Score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Score</c:v>
          </c:tx>
          <c:cat>
            <c:strRef>
              <c:f>'Pivot_Feedback'!$G$13:$G$17</c:f>
              <c:strCache>
                <c:ptCount val="0"/>
              </c:strCache>
            </c:strRef>
          </c:cat>
          <c:val>
            <c:numRef>
              <c:f>'Pivot_Feedback'!$H$13:$H$17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Recorded Usage Hours by Resource Type - Not Utilization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Recorded Hours</c:v>
          </c:tx>
          <c:cat>
            <c:strRef>
              <c:f>'Pivot_Resources'!$F$13:$F$17</c:f>
              <c:strCache>
                <c:ptCount val="0"/>
              </c:strCache>
            </c:strRef>
          </c:cat>
          <c:val>
            <c:numRef>
              <c:f>'Pivot_Resources'!$G$13:$G$17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Appointment Status Records - Department Filter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Selected Count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b2d797f2ac435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803686b32048d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5fe6295dea41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1405bdfa7d43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AppointmentTable" displayName="RawAppointmentTable" ref="A4:G24" headerRowCount="1" totalsRowCount="0" totalsRowShown="0">
  <x:autoFilter ref="A4:G24"/>
  <x:tableColumns count="7">
    <x:tableColumn id="1" name="AppointmentID"/>
    <x:tableColumn id="2" name="PatientID"/>
    <x:tableColumn id="3" name="DoctorID"/>
    <x:tableColumn id="4" name="Department"/>
    <x:tableColumn id="5" name="Date"/>
    <x:tableColumn id="6" name="Time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FeedbackTable" displayName="RawFeedbackTable" ref="A4:F19" headerRowCount="1" totalsRowCount="0" totalsRowShown="0">
  <x:autoFilter ref="A4:F19"/>
  <x:tableColumns count="6">
    <x:tableColumn id="1" name="FeedbackID"/>
    <x:tableColumn id="2" name="PatientID"/>
    <x:tableColumn id="3" name="Department"/>
    <x:tableColumn id="4" name="SatisfactionScore"/>
    <x:tableColumn id="5" name="Comments"/>
    <x:tableColumn id="6" name="Da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awResourceTable" displayName="RawResourceTable" ref="A4:E14" headerRowCount="1" totalsRowCount="0" totalsRowShown="0">
  <x:autoFilter ref="A4:E14"/>
  <x:tableColumns count="5">
    <x:tableColumn id="1" name="ResourceID"/>
    <x:tableColumn id="2" name="ResourceType"/>
    <x:tableColumn id="3" name="Availability"/>
    <x:tableColumn id="4" name="UsageHours"/>
    <x:tableColumn id="5" name="Date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CleanedAppointmentTable" displayName="CleanedAppointmentTable" ref="A4:O24" headerRowCount="1" totalsRowCount="0" totalsRowShown="0">
  <x:autoFilter ref="A4:O24"/>
  <x:tableColumns count="15">
    <x:tableColumn id="1" name="Appointment ID"/>
    <x:tableColumn id="2" name="Patient ID"/>
    <x:tableColumn id="3" name="Doctor ID"/>
    <x:tableColumn id="4" name="Department"/>
    <x:tableColumn id="5" name="Appointment Date"/>
    <x:tableColumn id="6" name="Appointment Time"/>
    <x:tableColumn id="7" name="Appointment DateTime"/>
    <x:tableColumn id="8" name="Day of Week"/>
    <x:tableColumn id="9" name="Time Slot Label"/>
    <x:tableColumn id="10" name="Time Band"/>
    <x:tableColumn id="11" name="Status"/>
    <x:tableColumn id="12" name="Exact Doctor/Date/Time Count"/>
    <x:tableColumn id="13" name="Exact Duplicate Review"/>
    <x:tableColumn id="14" name="Feedback Row Count"/>
    <x:tableColumn id="15" name="Feedback Match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eanedFeedbackTable" displayName="CleanedFeedbackTable" ref="A4:R19" headerRowCount="1" totalsRowCount="0" totalsRowShown="0">
  <x:autoFilter ref="A4:R19"/>
  <x:tableColumns count="18">
    <x:tableColumn id="1" name="Feedback ID"/>
    <x:tableColumn id="2" name="Patient ID"/>
    <x:tableColumn id="3" name="Appointment Date"/>
    <x:tableColumn id="4" name="Appointment Time"/>
    <x:tableColumn id="5" name="Day of Week"/>
    <x:tableColumn id="6" name="Appointment Department"/>
    <x:tableColumn id="7" name="Feedback Department"/>
    <x:tableColumn id="8" name="Department Match"/>
    <x:tableColumn id="9" name="Appointment Status"/>
    <x:tableColumn id="10" name="Feedback Score"/>
    <x:tableColumn id="11" name="Comments"/>
    <x:tableColumn id="12" name="Feedback Date"/>
    <x:tableColumn id="13" name="Wait Time (min)"/>
    <x:tableColumn id="14" name="Satisfaction Level"/>
    <x:tableColumn id="15" name="Join Status"/>
    <x:tableColumn id="16" name="Join Caution"/>
    <x:tableColumn id="17" name="Score Band"/>
    <x:tableColumn id="18" name="Time Slot Labe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leanedResourceTable" displayName="CleanedResourceTable" ref="A4:G14" headerRowCount="1" totalsRowCount="0" totalsRowShown="0">
  <x:autoFilter ref="A4:G14"/>
  <x:tableColumns count="7">
    <x:tableColumn id="1" name="Resource ID"/>
    <x:tableColumn id="2" name="Resource Type"/>
    <x:tableColumn id="3" name="Availability"/>
    <x:tableColumn id="4" name="Usage Hours"/>
    <x:tableColumn id="5" name="Date"/>
    <x:tableColumn id="6" name="Availability Group"/>
    <x:tableColumn id="7" name="Data Quality Not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70d01c728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5a3e6d7e73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f640683004a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d3cf295ace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6de921f78e4b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6cbe8c67dd4d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95e916fb4fe44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afaf3832ba8849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28e1a11047d44e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a6f3c76bdf6e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HealthFirst Care - Data Cleaning and Analysis Workbook</x:v>
      </x:c>
      <x:c r="B1" s="3" t="str">
        <x:v>HealthFirst Care - Data Cleaning and Analysis Workbook</x:v>
      </x:c>
      <x:c r="C1" s="3" t="str">
        <x:v>HealthFirst Care - Data Cleaning and Analysis Workbook</x:v>
      </x:c>
      <x:c r="D1" s="3" t="str">
        <x:v>HealthFirst Care - Data Cleaning and Analysis Workbook</x:v>
      </x:c>
      <x:c r="E1" s="3" t="str">
        <x:v>HealthFirst Care - Data Cleaning and Analysis Workbook</x:v>
      </x:c>
      <x:c r="F1" s="3" t="str">
        <x:v>HealthFirst Care - Data Cleaning and Analysis Workbook</x:v>
      </x:c>
      <x:c r="G1" s="3" t="str">
        <x:v>HealthFirst Care - Data Cleaning and Analysis Workbook</x:v>
      </x:c>
      <x:c r="H1" s="3" t="str">
        <x:v>HealthFirst Care - Data Cleaning and Analysis Workbook</x:v>
      </x:c>
    </x:row>
    <x:row r="2" ht="34" customHeight="1">
      <x:c r="A2" s="18" t="str">
        <x:v>Purpose: preserve the supplied source data, provide auditable cleaned tables, and support descriptive analysis. The extracts are small and patterned; they are not approved operational baselines.</x:v>
      </x:c>
      <x:c r="B2" s="19" t="str">
        <x:v>Purpose: preserve the supplied source data, provide auditable cleaned tables, and support descriptive analysis. The extracts are small and patterned; they are not approved operational baselines.</x:v>
      </x:c>
      <x:c r="C2" s="19" t="str">
        <x:v>Purpose: preserve the supplied source data, provide auditable cleaned tables, and support descriptive analysis. The extracts are small and patterned; they are not approved operational baselines.</x:v>
      </x:c>
      <x:c r="D2" s="19" t="str">
        <x:v>Purpose: preserve the supplied source data, provide auditable cleaned tables, and support descriptive analysis. The extracts are small and patterned; they are not approved operational baselines.</x:v>
      </x:c>
      <x:c r="E2" s="19" t="str">
        <x:v>Purpose: preserve the supplied source data, provide auditable cleaned tables, and support descriptive analysis. The extracts are small and patterned; they are not approved operational baselines.</x:v>
      </x:c>
      <x:c r="F2" s="19" t="str">
        <x:v>Purpose: preserve the supplied source data, provide auditable cleaned tables, and support descriptive analysis. The extracts are small and patterned; they are not approved operational baselines.</x:v>
      </x:c>
      <x:c r="G2" s="19" t="str">
        <x:v>Purpose: preserve the supplied source data, provide auditable cleaned tables, and support descriptive analysis. The extracts are small and patterned; they are not approved operational baselines.</x:v>
      </x:c>
      <x:c r="H2" s="20" t="str">
        <x:v>Purpose: preserve the supplied source data, provide auditable cleaned tables, and support descriptive analysis. The extracts are small and patterned; they are not approved operational baselines.</x:v>
      </x:c>
    </x:row>
    <x:row r="3" ht="34" customHeight="1">
      <x:c r="A3" s="21" t="str">
        <x:v>Purpose: preserve the supplied source data, provide auditable cleaned tables, and support descriptive analysis. The extracts are small and patterned; they are not approved operational baselines.</x:v>
      </x:c>
      <x:c r="B3" s="22" t="str">
        <x:v>Purpose: preserve the supplied source data, provide auditable cleaned tables, and support descriptive analysis. The extracts are small and patterned; they are not approved operational baselines.</x:v>
      </x:c>
      <x:c r="C3" s="22" t="str">
        <x:v>Purpose: preserve the supplied source data, provide auditable cleaned tables, and support descriptive analysis. The extracts are small and patterned; they are not approved operational baselines.</x:v>
      </x:c>
      <x:c r="D3" s="22" t="str">
        <x:v>Purpose: preserve the supplied source data, provide auditable cleaned tables, and support descriptive analysis. The extracts are small and patterned; they are not approved operational baselines.</x:v>
      </x:c>
      <x:c r="E3" s="22" t="str">
        <x:v>Purpose: preserve the supplied source data, provide auditable cleaned tables, and support descriptive analysis. The extracts are small and patterned; they are not approved operational baselines.</x:v>
      </x:c>
      <x:c r="F3" s="22" t="str">
        <x:v>Purpose: preserve the supplied source data, provide auditable cleaned tables, and support descriptive analysis. The extracts are small and patterned; they are not approved operational baselines.</x:v>
      </x:c>
      <x:c r="G3" s="22" t="str">
        <x:v>Purpose: preserve the supplied source data, provide auditable cleaned tables, and support descriptive analysis. The extracts are small and patterned; they are not approved operational baselines.</x:v>
      </x:c>
      <x:c r="H3" s="23" t="str">
        <x:v>Purpose: preserve the supplied source data, provide auditable cleaned tables, and support descriptive analysis. The extracts are small and patterned; they are not approved operational baselines.</x:v>
      </x:c>
    </x:row>
    <x:row r="4">
      <x:c r="A4" s="199"/>
      <x:c r="B4" s="199"/>
      <x:c r="C4" s="199"/>
      <x:c r="D4" s="199"/>
      <x:c r="E4" s="199"/>
      <x:c r="F4" s="199"/>
      <x:c r="G4" s="199"/>
      <x:c r="H4" s="199"/>
    </x:row>
    <x:row r="5" ht="32" customHeight="1">
      <x:c r="A5" s="32" t="str">
        <x:v>Workbook area</x:v>
      </x:c>
      <x:c r="B5" s="33" t="str">
        <x:v>Purpose</x:v>
      </x:c>
      <x:c r="C5" s="199"/>
      <x:c r="D5" s="199"/>
      <x:c r="E5" s="199"/>
      <x:c r="F5" s="199"/>
      <x:c r="G5" s="199"/>
      <x:c r="H5" s="199"/>
    </x:row>
    <x:row r="6">
      <x:c r="A6" s="199" t="str">
        <x:v>Raw_*</x:v>
      </x:c>
      <x:c r="B6" s="199" t="str">
        <x:v>Unchanged source text copied from each CSV.</x:v>
      </x:c>
      <x:c r="C6" s="199"/>
      <x:c r="D6" s="199"/>
      <x:c r="E6" s="199"/>
      <x:c r="F6" s="199"/>
      <x:c r="G6" s="199"/>
      <x:c r="H6" s="199"/>
    </x:row>
    <x:row r="7">
      <x:c r="A7" s="199" t="str">
        <x:v>Cleaned_*</x:v>
      </x:c>
      <x:c r="B7" s="199" t="str">
        <x:v>Typed dates/times, formulas, quality flags, and the lab-required provisional feedback lookup.</x:v>
      </x:c>
      <x:c r="C7" s="199"/>
      <x:c r="D7" s="199"/>
      <x:c r="E7" s="199"/>
      <x:c r="F7" s="199"/>
      <x:c r="G7" s="199"/>
      <x:c r="H7" s="199"/>
    </x:row>
    <x:row r="8">
      <x:c r="A8" s="199" t="str">
        <x:v>Pivot_*</x:v>
      </x:c>
      <x:c r="B8" s="199" t="str">
        <x:v>Formula-based pivot-style summaries with auditable COUNTIF(S), AVERAGEIF, and SUMIF formulas.</x:v>
      </x:c>
      <x:c r="C8" s="199"/>
      <x:c r="D8" s="199"/>
      <x:c r="E8" s="199"/>
      <x:c r="F8" s="199"/>
      <x:c r="G8" s="199"/>
      <x:c r="H8" s="199"/>
    </x:row>
    <x:row r="9">
      <x:c r="A9" s="199" t="str">
        <x:v>Dashboard</x:v>
      </x:c>
      <x:c r="B9" s="199" t="str">
        <x:v>Department dropdown that acts as a transparent slicer substitute and updates appointment/feedback KPIs.</x:v>
      </x:c>
      <x:c r="C9" s="199"/>
      <x:c r="D9" s="199"/>
      <x:c r="E9" s="199"/>
      <x:c r="F9" s="199"/>
      <x:c r="G9" s="199"/>
      <x:c r="H9" s="199"/>
    </x:row>
    <x:row r="10">
      <x:c r="A10" s="199" t="str">
        <x:v>Data_Quality</x:v>
      </x:c>
      <x:c r="B10" s="199" t="str">
        <x:v>Duplicate, blank, linkage, and structural-field checks.</x:v>
      </x:c>
      <x:c r="C10" s="199"/>
      <x:c r="D10" s="199"/>
      <x:c r="E10" s="199"/>
      <x:c r="F10" s="199"/>
      <x:c r="G10" s="199"/>
      <x:c r="H10" s="199"/>
    </x:row>
    <x:row r="11">
      <x:c r="A11" s="199" t="str">
        <x:v>Lookups</x:v>
      </x:c>
      <x:c r="B11" s="199" t="str">
        <x:v>Visible department list, categories, and the lab-specified satisfaction threshold.</x:v>
      </x:c>
      <x:c r="C11" s="199"/>
      <x:c r="D11" s="199"/>
      <x:c r="E11" s="199"/>
      <x:c r="F11" s="199"/>
      <x:c r="G11" s="199"/>
      <x:c r="H11" s="199"/>
    </x:row>
    <x:row r="12">
      <x:c r="A12" s="199" t="str">
        <x:v>Companion Markdown</x:v>
      </x:c>
      <x:c r="B12" s="199" t="str">
        <x:v>Capstone_Project_M04L01_Data_Analysis.md contains cleaned tables, findings, Mermaid charts, and recommendations.</x:v>
      </x:c>
      <x:c r="C12" s="199"/>
      <x:c r="D12" s="199"/>
      <x:c r="E12" s="199"/>
      <x:c r="F12" s="199"/>
      <x:c r="G12" s="199"/>
      <x:c r="H12" s="199"/>
    </x:row>
    <x:row r="13">
      <x:c r="A13" s="199"/>
      <x:c r="B13" s="199"/>
      <x:c r="C13" s="199"/>
      <x:c r="D13" s="199"/>
      <x:c r="E13" s="199"/>
      <x:c r="F13" s="199"/>
      <x:c r="G13" s="199"/>
      <x:c r="H13" s="199"/>
    </x:row>
    <x:row r="14" ht="32" customHeight="1">
      <x:c r="A14" s="32" t="str">
        <x:v>Important limitation</x:v>
      </x:c>
      <x:c r="B14" s="33" t="str">
        <x:v>Treatment</x:v>
      </x:c>
      <x:c r="C14" s="199"/>
      <x:c r="D14" s="199"/>
      <x:c r="E14" s="199"/>
      <x:c r="F14" s="199"/>
      <x:c r="G14" s="199"/>
      <x:c r="H14" s="199"/>
    </x:row>
    <x:row r="15">
      <x:c r="A15" s="199" t="str">
        <x:v>Wait time</x:v>
      </x:c>
      <x:c r="B15" s="199" t="str">
        <x:v>Not calculated: no physical check-in or consultation-start timestamps.</x:v>
      </x:c>
      <x:c r="C15" s="199"/>
      <x:c r="D15" s="199"/>
      <x:c r="E15" s="199"/>
      <x:c r="F15" s="199"/>
      <x:c r="G15" s="199"/>
      <x:c r="H15" s="199"/>
    </x:row>
    <x:row r="16">
      <x:c r="A16" s="199" t="str">
        <x:v>PatientID feedback lookup</x:v>
      </x:c>
      <x:c r="B16" s="199" t="str">
        <x:v>Performed only because the lab requires it; labeled provisional because feedback has no AppointmentID.</x:v>
      </x:c>
      <x:c r="C16" s="199"/>
      <x:c r="D16" s="199"/>
      <x:c r="E16" s="199"/>
      <x:c r="F16" s="199"/>
      <x:c r="G16" s="199"/>
      <x:c r="H16" s="199"/>
    </x:row>
    <x:row r="17">
      <x:c r="A17" s="199" t="str">
        <x:v>Peak appointment time</x:v>
      </x:c>
      <x:c r="B17" s="199" t="str">
        <x:v>No unique peak: all five listed times have four appointments.</x:v>
      </x:c>
      <x:c r="C17" s="199"/>
      <x:c r="D17" s="199"/>
      <x:c r="E17" s="199"/>
      <x:c r="F17" s="199"/>
      <x:c r="G17" s="199"/>
      <x:c r="H17" s="199"/>
    </x:row>
    <x:row r="18">
      <x:c r="A18" s="199" t="str">
        <x:v>Satisfaction level</x:v>
      </x:c>
      <x:c r="B18" s="199" t="str">
        <x:v>Lab rule is score &gt;= 4 = High; all 15 rows are High, so the category is not discriminating.</x:v>
      </x:c>
      <x:c r="C18" s="199"/>
      <x:c r="D18" s="199"/>
      <x:c r="E18" s="199"/>
      <x:c r="F18" s="199"/>
      <x:c r="G18" s="199"/>
      <x:c r="H18" s="199"/>
    </x:row>
    <x:row r="19">
      <x:c r="A19" s="199" t="str">
        <x:v>Resource utilization</x:v>
      </x:c>
      <x:c r="B19" s="199" t="str">
        <x:v>Not calculated: UsageHours has no capacity-hours denominator or defined observation period.</x:v>
      </x:c>
      <x:c r="C19" s="199"/>
      <x:c r="D19" s="199"/>
      <x:c r="E19" s="199"/>
      <x:c r="F19" s="199"/>
      <x:c r="G19" s="199"/>
      <x:c r="H19" s="199"/>
    </x:row>
    <x:row r="20">
      <x:c r="A20" s="199" t="str">
        <x:v>PivotTables and slicers</x:v>
      </x:c>
      <x:c r="B20" s="199" t="str">
        <x:v>Formula-based pivot-style summaries, Excel Table filters, and a dashboard dropdown are used; they are not native PivotTable/slicer objects.</x:v>
      </x:c>
      <x:c r="C20" s="199"/>
      <x:c r="D20" s="199"/>
      <x:c r="E20" s="199"/>
      <x:c r="F20" s="199"/>
      <x:c r="G20" s="199"/>
      <x:c r="H20" s="199"/>
    </x:row>
    <x:row r="21">
      <x:c r="A21" s="199"/>
      <x:c r="B21" s="199"/>
      <x:c r="C21" s="199"/>
      <x:c r="D21" s="199"/>
      <x:c r="E21" s="199"/>
      <x:c r="F21" s="199"/>
      <x:c r="G21" s="199"/>
      <x:c r="H21" s="199"/>
    </x:row>
    <x:row r="22">
      <x:c r="A22" s="53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B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C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D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E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F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G22" s="54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H22" s="55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</x:row>
    <x:row r="23">
      <x:c r="A23" s="56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B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C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D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E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F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G23" s="57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H23" s="58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</x:row>
    <x:row r="24">
      <x:c r="A24" s="59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B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C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D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E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F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G24" s="60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  <x:c r="H24" s="61" t="str">
        <x:v>Suggested native Excel step (optional): select a Cleaned_* table, choose Insert &gt; PivotTable, then Insert &gt; Slicer. The prepared tables and categories are ready for that desktop-Excel action if the assessment rubric requires native objects.</x:v>
      </x:c>
    </x:row>
  </x:sheetData>
  <x:mergeCells>
    <x:mergeCell ref="A1:H1"/>
    <x:mergeCell ref="A2:H3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3" t="str">
        <x:v>Raw Appointment Data - Preserved Source Text</x:v>
      </x:c>
      <x:c r="B1" s="3" t="str">
        <x:v>Raw Appointment Data - Preserved Source Text</x:v>
      </x:c>
      <x:c r="C1" s="3" t="str">
        <x:v>Raw Appointment Data - Preserved Source Text</x:v>
      </x:c>
      <x:c r="D1" s="3" t="str">
        <x:v>Raw Appointment Data - Preserved Source Text</x:v>
      </x:c>
      <x:c r="E1" s="3" t="str">
        <x:v>Raw Appointment Data - Preserved Source Text</x:v>
      </x:c>
      <x:c r="F1" s="3" t="str">
        <x:v>Raw Appointment Data - Preserved Source Text</x:v>
      </x:c>
      <x:c r="G1" s="3" t="str">
        <x:v>Raw Appointment Data - Preserved Source Text</x:v>
      </x:c>
    </x:row>
    <x:row r="2" ht="34" customHeight="1">
      <x:c r="A2" s="70" t="str">
        <x:v>Source: appointment_data.csv. No source value has been altered on this sheet.</x:v>
      </x:c>
      <x:c r="B2" s="71" t="str">
        <x:v>Source: appointment_data.csv. No source value has been altered on this sheet.</x:v>
      </x:c>
      <x:c r="C2" s="71" t="str">
        <x:v>Source: appointment_data.csv. No source value has been altered on this sheet.</x:v>
      </x:c>
      <x:c r="D2" s="71" t="str">
        <x:v>Source: appointment_data.csv. No source value has been altered on this sheet.</x:v>
      </x:c>
      <x:c r="E2" s="71" t="str">
        <x:v>Source: appointment_data.csv. No source value has been altered on this sheet.</x:v>
      </x:c>
      <x:c r="F2" s="71" t="str">
        <x:v>Source: appointment_data.csv. No source value has been altered on this sheet.</x:v>
      </x:c>
      <x:c r="G2" s="72" t="str">
        <x:v>Source: appointment_data.csv. No source value has been altered on this sheet.</x:v>
      </x:c>
    </x:row>
    <x:row r="3">
      <x:c r="A3" s="199"/>
      <x:c r="B3" s="199"/>
      <x:c r="C3" s="199"/>
      <x:c r="D3" s="199"/>
      <x:c r="E3" s="199"/>
      <x:c r="F3" s="199"/>
      <x:c r="G3" s="199"/>
    </x:row>
    <x:row r="4" ht="32" customHeight="1">
      <x:c r="A4" s="32" t="str">
        <x:v>AppointmentID</x:v>
      </x:c>
      <x:c r="B4" s="76" t="str">
        <x:v>PatientID</x:v>
      </x:c>
      <x:c r="C4" s="76" t="str">
        <x:v>DoctorID</x:v>
      </x:c>
      <x:c r="D4" s="76" t="str">
        <x:v>Department</x:v>
      </x:c>
      <x:c r="E4" s="76" t="str">
        <x:v>Date</x:v>
      </x:c>
      <x:c r="F4" s="76" t="str">
        <x:v>Time</x:v>
      </x:c>
      <x:c r="G4" s="33" t="str">
        <x:v>Status</x:v>
      </x:c>
    </x:row>
    <x:row r="5">
      <x:c r="A5" s="199" t="str">
        <x:v>1</x:v>
      </x:c>
      <x:c r="B5" s="199" t="str">
        <x:v>P1000</x:v>
      </x:c>
      <x:c r="C5" s="199" t="str">
        <x:v>D10</x:v>
      </x:c>
      <x:c r="D5" s="199" t="str">
        <x:v>Cardiology</x:v>
      </x:c>
      <x:c r="E5" s="199" t="str">
        <x:v>2024-01-01</x:v>
      </x:c>
      <x:c r="F5" s="199" t="str">
        <x:v>10:00 AM</x:v>
      </x:c>
      <x:c r="G5" s="199" t="str">
        <x:v>Completed</x:v>
      </x:c>
    </x:row>
    <x:row r="6">
      <x:c r="A6" s="199" t="str">
        <x:v>2</x:v>
      </x:c>
      <x:c r="B6" s="199" t="str">
        <x:v>P1001</x:v>
      </x:c>
      <x:c r="C6" s="199" t="str">
        <x:v>D11</x:v>
      </x:c>
      <x:c r="D6" s="199" t="str">
        <x:v>Orthopedics</x:v>
      </x:c>
      <x:c r="E6" s="199" t="str">
        <x:v>2024-01-02</x:v>
      </x:c>
      <x:c r="F6" s="199" t="str">
        <x:v>11:00 AM</x:v>
      </x:c>
      <x:c r="G6" s="199" t="str">
        <x:v>No Show</x:v>
      </x:c>
    </x:row>
    <x:row r="7">
      <x:c r="A7" s="199" t="str">
        <x:v>3</x:v>
      </x:c>
      <x:c r="B7" s="199" t="str">
        <x:v>P1002</x:v>
      </x:c>
      <x:c r="C7" s="199" t="str">
        <x:v>D12</x:v>
      </x:c>
      <x:c r="D7" s="199" t="str">
        <x:v>Neurology</x:v>
      </x:c>
      <x:c r="E7" s="199" t="str">
        <x:v>2024-01-03</x:v>
      </x:c>
      <x:c r="F7" s="199" t="str">
        <x:v>02:00 PM</x:v>
      </x:c>
      <x:c r="G7" s="199" t="str">
        <x:v>Rescheduled</x:v>
      </x:c>
    </x:row>
    <x:row r="8">
      <x:c r="A8" s="199" t="str">
        <x:v>4</x:v>
      </x:c>
      <x:c r="B8" s="199" t="str">
        <x:v>P1003</x:v>
      </x:c>
      <x:c r="C8" s="199" t="str">
        <x:v>D13</x:v>
      </x:c>
      <x:c r="D8" s="199" t="str">
        <x:v>Pediatrics</x:v>
      </x:c>
      <x:c r="E8" s="199" t="str">
        <x:v>2024-01-04</x:v>
      </x:c>
      <x:c r="F8" s="199" t="str">
        <x:v>03:00 PM</x:v>
      </x:c>
      <x:c r="G8" s="199" t="str">
        <x:v>Cancelled</x:v>
      </x:c>
    </x:row>
    <x:row r="9">
      <x:c r="A9" s="199" t="str">
        <x:v>5</x:v>
      </x:c>
      <x:c r="B9" s="199" t="str">
        <x:v>P1004</x:v>
      </x:c>
      <x:c r="C9" s="199" t="str">
        <x:v>D14</x:v>
      </x:c>
      <x:c r="D9" s="199" t="str">
        <x:v>General</x:v>
      </x:c>
      <x:c r="E9" s="199" t="str">
        <x:v>2024-01-05</x:v>
      </x:c>
      <x:c r="F9" s="199" t="str">
        <x:v>04:00 PM</x:v>
      </x:c>
      <x:c r="G9" s="199" t="str">
        <x:v>Completed</x:v>
      </x:c>
    </x:row>
    <x:row r="10">
      <x:c r="A10" s="199" t="str">
        <x:v>6</x:v>
      </x:c>
      <x:c r="B10" s="199" t="str">
        <x:v>P1005</x:v>
      </x:c>
      <x:c r="C10" s="199" t="str">
        <x:v>D10</x:v>
      </x:c>
      <x:c r="D10" s="199" t="str">
        <x:v>Cardiology</x:v>
      </x:c>
      <x:c r="E10" s="199" t="str">
        <x:v>2024-01-06</x:v>
      </x:c>
      <x:c r="F10" s="199" t="str">
        <x:v>10:00 AM</x:v>
      </x:c>
      <x:c r="G10" s="199" t="str">
        <x:v>Completed</x:v>
      </x:c>
    </x:row>
    <x:row r="11">
      <x:c r="A11" s="199" t="str">
        <x:v>7</x:v>
      </x:c>
      <x:c r="B11" s="199" t="str">
        <x:v>P1006</x:v>
      </x:c>
      <x:c r="C11" s="199" t="str">
        <x:v>D11</x:v>
      </x:c>
      <x:c r="D11" s="199" t="str">
        <x:v>Orthopedics</x:v>
      </x:c>
      <x:c r="E11" s="199" t="str">
        <x:v>2024-01-07</x:v>
      </x:c>
      <x:c r="F11" s="199" t="str">
        <x:v>11:00 AM</x:v>
      </x:c>
      <x:c r="G11" s="199" t="str">
        <x:v>No Show</x:v>
      </x:c>
    </x:row>
    <x:row r="12">
      <x:c r="A12" s="199" t="str">
        <x:v>8</x:v>
      </x:c>
      <x:c r="B12" s="199" t="str">
        <x:v>P1007</x:v>
      </x:c>
      <x:c r="C12" s="199" t="str">
        <x:v>D12</x:v>
      </x:c>
      <x:c r="D12" s="199" t="str">
        <x:v>Neurology</x:v>
      </x:c>
      <x:c r="E12" s="199" t="str">
        <x:v>2024-01-08</x:v>
      </x:c>
      <x:c r="F12" s="199" t="str">
        <x:v>02:00 PM</x:v>
      </x:c>
      <x:c r="G12" s="199" t="str">
        <x:v>Rescheduled</x:v>
      </x:c>
    </x:row>
    <x:row r="13">
      <x:c r="A13" s="199" t="str">
        <x:v>9</x:v>
      </x:c>
      <x:c r="B13" s="199" t="str">
        <x:v>P1008</x:v>
      </x:c>
      <x:c r="C13" s="199" t="str">
        <x:v>D13</x:v>
      </x:c>
      <x:c r="D13" s="199" t="str">
        <x:v>Pediatrics</x:v>
      </x:c>
      <x:c r="E13" s="199" t="str">
        <x:v>2024-01-09</x:v>
      </x:c>
      <x:c r="F13" s="199" t="str">
        <x:v>03:00 PM</x:v>
      </x:c>
      <x:c r="G13" s="199" t="str">
        <x:v>Cancelled</x:v>
      </x:c>
    </x:row>
    <x:row r="14">
      <x:c r="A14" s="199" t="str">
        <x:v>10</x:v>
      </x:c>
      <x:c r="B14" s="199" t="str">
        <x:v>P1009</x:v>
      </x:c>
      <x:c r="C14" s="199" t="str">
        <x:v>D14</x:v>
      </x:c>
      <x:c r="D14" s="199" t="str">
        <x:v>General</x:v>
      </x:c>
      <x:c r="E14" s="199" t="str">
        <x:v>2024-01-10</x:v>
      </x:c>
      <x:c r="F14" s="199" t="str">
        <x:v>04:00 PM</x:v>
      </x:c>
      <x:c r="G14" s="199" t="str">
        <x:v>Completed</x:v>
      </x:c>
    </x:row>
    <x:row r="15">
      <x:c r="A15" s="199" t="str">
        <x:v>11</x:v>
      </x:c>
      <x:c r="B15" s="199" t="str">
        <x:v>P1010</x:v>
      </x:c>
      <x:c r="C15" s="199" t="str">
        <x:v>D10</x:v>
      </x:c>
      <x:c r="D15" s="199" t="str">
        <x:v>Cardiology</x:v>
      </x:c>
      <x:c r="E15" s="199" t="str">
        <x:v>2024-01-11</x:v>
      </x:c>
      <x:c r="F15" s="199" t="str">
        <x:v>10:00 AM</x:v>
      </x:c>
      <x:c r="G15" s="199" t="str">
        <x:v>Completed</x:v>
      </x:c>
    </x:row>
    <x:row r="16">
      <x:c r="A16" s="199" t="str">
        <x:v>12</x:v>
      </x:c>
      <x:c r="B16" s="199" t="str">
        <x:v>P1011</x:v>
      </x:c>
      <x:c r="C16" s="199" t="str">
        <x:v>D11</x:v>
      </x:c>
      <x:c r="D16" s="199" t="str">
        <x:v>Orthopedics</x:v>
      </x:c>
      <x:c r="E16" s="199" t="str">
        <x:v>2024-01-12</x:v>
      </x:c>
      <x:c r="F16" s="199" t="str">
        <x:v>11:00 AM</x:v>
      </x:c>
      <x:c r="G16" s="199" t="str">
        <x:v>No Show</x:v>
      </x:c>
    </x:row>
    <x:row r="17">
      <x:c r="A17" s="199" t="str">
        <x:v>13</x:v>
      </x:c>
      <x:c r="B17" s="199" t="str">
        <x:v>P1012</x:v>
      </x:c>
      <x:c r="C17" s="199" t="str">
        <x:v>D12</x:v>
      </x:c>
      <x:c r="D17" s="199" t="str">
        <x:v>Neurology</x:v>
      </x:c>
      <x:c r="E17" s="199" t="str">
        <x:v>2024-01-13</x:v>
      </x:c>
      <x:c r="F17" s="199" t="str">
        <x:v>02:00 PM</x:v>
      </x:c>
      <x:c r="G17" s="199" t="str">
        <x:v>Rescheduled</x:v>
      </x:c>
    </x:row>
    <x:row r="18">
      <x:c r="A18" s="199" t="str">
        <x:v>14</x:v>
      </x:c>
      <x:c r="B18" s="199" t="str">
        <x:v>P1013</x:v>
      </x:c>
      <x:c r="C18" s="199" t="str">
        <x:v>D13</x:v>
      </x:c>
      <x:c r="D18" s="199" t="str">
        <x:v>Pediatrics</x:v>
      </x:c>
      <x:c r="E18" s="199" t="str">
        <x:v>2024-01-14</x:v>
      </x:c>
      <x:c r="F18" s="199" t="str">
        <x:v>03:00 PM</x:v>
      </x:c>
      <x:c r="G18" s="199" t="str">
        <x:v>Cancelled</x:v>
      </x:c>
    </x:row>
    <x:row r="19">
      <x:c r="A19" s="199" t="str">
        <x:v>15</x:v>
      </x:c>
      <x:c r="B19" s="199" t="str">
        <x:v>P1014</x:v>
      </x:c>
      <x:c r="C19" s="199" t="str">
        <x:v>D14</x:v>
      </x:c>
      <x:c r="D19" s="199" t="str">
        <x:v>General</x:v>
      </x:c>
      <x:c r="E19" s="199" t="str">
        <x:v>2024-01-15</x:v>
      </x:c>
      <x:c r="F19" s="199" t="str">
        <x:v>04:00 PM</x:v>
      </x:c>
      <x:c r="G19" s="199" t="str">
        <x:v>Completed</x:v>
      </x:c>
    </x:row>
    <x:row r="20">
      <x:c r="A20" s="199" t="str">
        <x:v>16</x:v>
      </x:c>
      <x:c r="B20" s="199" t="str">
        <x:v>P1015</x:v>
      </x:c>
      <x:c r="C20" s="199" t="str">
        <x:v>D10</x:v>
      </x:c>
      <x:c r="D20" s="199" t="str">
        <x:v>Cardiology</x:v>
      </x:c>
      <x:c r="E20" s="199" t="str">
        <x:v>2024-01-16</x:v>
      </x:c>
      <x:c r="F20" s="199" t="str">
        <x:v>10:00 AM</x:v>
      </x:c>
      <x:c r="G20" s="199" t="str">
        <x:v>Completed</x:v>
      </x:c>
    </x:row>
    <x:row r="21">
      <x:c r="A21" s="199" t="str">
        <x:v>17</x:v>
      </x:c>
      <x:c r="B21" s="199" t="str">
        <x:v>P1016</x:v>
      </x:c>
      <x:c r="C21" s="199" t="str">
        <x:v>D11</x:v>
      </x:c>
      <x:c r="D21" s="199" t="str">
        <x:v>Orthopedics</x:v>
      </x:c>
      <x:c r="E21" s="199" t="str">
        <x:v>2024-01-17</x:v>
      </x:c>
      <x:c r="F21" s="199" t="str">
        <x:v>11:00 AM</x:v>
      </x:c>
      <x:c r="G21" s="199" t="str">
        <x:v>No Show</x:v>
      </x:c>
    </x:row>
    <x:row r="22">
      <x:c r="A22" s="199" t="str">
        <x:v>18</x:v>
      </x:c>
      <x:c r="B22" s="199" t="str">
        <x:v>P1017</x:v>
      </x:c>
      <x:c r="C22" s="199" t="str">
        <x:v>D12</x:v>
      </x:c>
      <x:c r="D22" s="199" t="str">
        <x:v>Neurology</x:v>
      </x:c>
      <x:c r="E22" s="199" t="str">
        <x:v>2024-01-18</x:v>
      </x:c>
      <x:c r="F22" s="199" t="str">
        <x:v>02:00 PM</x:v>
      </x:c>
      <x:c r="G22" s="199" t="str">
        <x:v>Rescheduled</x:v>
      </x:c>
    </x:row>
    <x:row r="23">
      <x:c r="A23" s="199" t="str">
        <x:v>19</x:v>
      </x:c>
      <x:c r="B23" s="199" t="str">
        <x:v>P1018</x:v>
      </x:c>
      <x:c r="C23" s="199" t="str">
        <x:v>D13</x:v>
      </x:c>
      <x:c r="D23" s="199" t="str">
        <x:v>Pediatrics</x:v>
      </x:c>
      <x:c r="E23" s="199" t="str">
        <x:v>2024-01-19</x:v>
      </x:c>
      <x:c r="F23" s="199" t="str">
        <x:v>03:00 PM</x:v>
      </x:c>
      <x:c r="G23" s="199" t="str">
        <x:v>Cancelled</x:v>
      </x:c>
    </x:row>
    <x:row r="24">
      <x:c r="A24" s="199" t="str">
        <x:v>20</x:v>
      </x:c>
      <x:c r="B24" s="199" t="str">
        <x:v>P1019</x:v>
      </x:c>
      <x:c r="C24" s="199" t="str">
        <x:v>D14</x:v>
      </x:c>
      <x:c r="D24" s="199" t="str">
        <x:v>General</x:v>
      </x:c>
      <x:c r="E24" s="199" t="str">
        <x:v>2024-01-20</x:v>
      </x:c>
      <x:c r="F24" s="199" t="str">
        <x:v>04:00 PM</x:v>
      </x:c>
      <x:c r="G24" s="199" t="str">
        <x:v>Completed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370d01c72847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34" hidden="0" customWidth="1"/>
    <x:col min="6" max="6" width="17" hidden="0" customWidth="1"/>
  </x:cols>
  <x:sheetData>
    <x:row r="1" ht="28" customHeight="1">
      <x:c r="A1" s="3" t="str">
        <x:v>Raw Feedback Data - Preserved Source Text</x:v>
      </x:c>
      <x:c r="B1" s="3" t="str">
        <x:v>Raw Feedback Data - Preserved Source Text</x:v>
      </x:c>
      <x:c r="C1" s="3" t="str">
        <x:v>Raw Feedback Data - Preserved Source Text</x:v>
      </x:c>
      <x:c r="D1" s="3" t="str">
        <x:v>Raw Feedback Data - Preserved Source Text</x:v>
      </x:c>
      <x:c r="E1" s="3" t="str">
        <x:v>Raw Feedback Data - Preserved Source Text</x:v>
      </x:c>
      <x:c r="F1" s="3" t="str">
        <x:v>Raw Feedback Data - Preserved Source Text</x:v>
      </x:c>
    </x:row>
    <x:row r="2" ht="34" customHeight="1">
      <x:c r="A2" s="70" t="str">
        <x:v>Source: feedback_data.csv. Comments and scores are preserved verbatim.</x:v>
      </x:c>
      <x:c r="B2" s="71" t="str">
        <x:v>Source: feedback_data.csv. Comments and scores are preserved verbatim.</x:v>
      </x:c>
      <x:c r="C2" s="71" t="str">
        <x:v>Source: feedback_data.csv. Comments and scores are preserved verbatim.</x:v>
      </x:c>
      <x:c r="D2" s="71" t="str">
        <x:v>Source: feedback_data.csv. Comments and scores are preserved verbatim.</x:v>
      </x:c>
      <x:c r="E2" s="71" t="str">
        <x:v>Source: feedback_data.csv. Comments and scores are preserved verbatim.</x:v>
      </x:c>
      <x:c r="F2" s="72" t="str">
        <x:v>Source: feedback_data.csv. Comments and scores are preserved verbatim.</x:v>
      </x:c>
    </x:row>
    <x:row r="3">
      <x:c r="A3" s="199"/>
      <x:c r="B3" s="199"/>
      <x:c r="C3" s="199"/>
      <x:c r="D3" s="199"/>
      <x:c r="E3" s="199"/>
      <x:c r="F3" s="199"/>
    </x:row>
    <x:row r="4" ht="32" customHeight="1">
      <x:c r="A4" s="32" t="str">
        <x:v>FeedbackID</x:v>
      </x:c>
      <x:c r="B4" s="76" t="str">
        <x:v>PatientID</x:v>
      </x:c>
      <x:c r="C4" s="76" t="str">
        <x:v>Department</x:v>
      </x:c>
      <x:c r="D4" s="76" t="str">
        <x:v>SatisfactionScore</x:v>
      </x:c>
      <x:c r="E4" s="76" t="str">
        <x:v>Comments</x:v>
      </x:c>
      <x:c r="F4" s="33" t="str">
        <x:v>Date</x:v>
      </x:c>
    </x:row>
    <x:row r="5">
      <x:c r="A5" s="199" t="str">
        <x:v>1</x:v>
      </x:c>
      <x:c r="B5" s="199" t="str">
        <x:v>P1000</x:v>
      </x:c>
      <x:c r="C5" s="199" t="str">
        <x:v>Cardiology</x:v>
      </x:c>
      <x:c r="D5" s="199" t="str">
        <x:v>8</x:v>
      </x:c>
      <x:c r="E5" s="199" t="str">
        <x:v>Good service</x:v>
      </x:c>
      <x:c r="F5" s="199" t="str">
        <x:v>2024-01-01</x:v>
      </x:c>
    </x:row>
    <x:row r="6">
      <x:c r="A6" s="199" t="str">
        <x:v>2</x:v>
      </x:c>
      <x:c r="B6" s="199" t="str">
        <x:v>P1001</x:v>
      </x:c>
      <x:c r="C6" s="199" t="str">
        <x:v>Orthopedics</x:v>
      </x:c>
      <x:c r="D6" s="199" t="str">
        <x:v>6</x:v>
      </x:c>
      <x:c r="E6" s="199" t="str">
        <x:v>Long wait times</x:v>
      </x:c>
      <x:c r="F6" s="199" t="str">
        <x:v>2024-01-02</x:v>
      </x:c>
    </x:row>
    <x:row r="7">
      <x:c r="A7" s="199" t="str">
        <x:v>3</x:v>
      </x:c>
      <x:c r="B7" s="199" t="str">
        <x:v>P1002</x:v>
      </x:c>
      <x:c r="C7" s="199" t="str">
        <x:v>Neurology</x:v>
      </x:c>
      <x:c r="D7" s="199" t="str">
        <x:v>9</x:v>
      </x:c>
      <x:c r="E7" s="199" t="str">
        <x:v>Excellent care</x:v>
      </x:c>
      <x:c r="F7" s="199" t="str">
        <x:v>2024-01-03</x:v>
      </x:c>
    </x:row>
    <x:row r="8">
      <x:c r="A8" s="199" t="str">
        <x:v>4</x:v>
      </x:c>
      <x:c r="B8" s="199" t="str">
        <x:v>P1003</x:v>
      </x:c>
      <x:c r="C8" s="199" t="str">
        <x:v>Pediatrics</x:v>
      </x:c>
      <x:c r="D8" s="199" t="str">
        <x:v>7</x:v>
      </x:c>
      <x:c r="E8" s="199" t="str">
        <x:v>Child-friendly staff</x:v>
      </x:c>
      <x:c r="F8" s="199" t="str">
        <x:v>2024-01-04</x:v>
      </x:c>
    </x:row>
    <x:row r="9">
      <x:c r="A9" s="199" t="str">
        <x:v>5</x:v>
      </x:c>
      <x:c r="B9" s="199" t="str">
        <x:v>P1004</x:v>
      </x:c>
      <x:c r="C9" s="199" t="str">
        <x:v>General</x:v>
      </x:c>
      <x:c r="D9" s="199" t="str">
        <x:v>5</x:v>
      </x:c>
      <x:c r="E9" s="199" t="str">
        <x:v>Average</x:v>
      </x:c>
      <x:c r="F9" s="199" t="str">
        <x:v>2024-01-05</x:v>
      </x:c>
    </x:row>
    <x:row r="10">
      <x:c r="A10" s="199" t="str">
        <x:v>6</x:v>
      </x:c>
      <x:c r="B10" s="199" t="str">
        <x:v>P1005</x:v>
      </x:c>
      <x:c r="C10" s="199" t="str">
        <x:v>Cardiology</x:v>
      </x:c>
      <x:c r="D10" s="199" t="str">
        <x:v>8</x:v>
      </x:c>
      <x:c r="E10" s="199" t="str">
        <x:v>Great doctors</x:v>
      </x:c>
      <x:c r="F10" s="199" t="str">
        <x:v>2024-01-06</x:v>
      </x:c>
    </x:row>
    <x:row r="11">
      <x:c r="A11" s="199" t="str">
        <x:v>7</x:v>
      </x:c>
      <x:c r="B11" s="199" t="str">
        <x:v>P1006</x:v>
      </x:c>
      <x:c r="C11" s="199" t="str">
        <x:v>Orthopedics</x:v>
      </x:c>
      <x:c r="D11" s="199" t="str">
        <x:v>7</x:v>
      </x:c>
      <x:c r="E11" s="199" t="str">
        <x:v>Helpful staff</x:v>
      </x:c>
      <x:c r="F11" s="199" t="str">
        <x:v>2024-01-07</x:v>
      </x:c>
    </x:row>
    <x:row r="12">
      <x:c r="A12" s="199" t="str">
        <x:v>8</x:v>
      </x:c>
      <x:c r="B12" s="199" t="str">
        <x:v>P1007</x:v>
      </x:c>
      <x:c r="C12" s="199" t="str">
        <x:v>Neurology</x:v>
      </x:c>
      <x:c r="D12" s="199" t="str">
        <x:v>9</x:v>
      </x:c>
      <x:c r="E12" s="199" t="str">
        <x:v>Highly recommended</x:v>
      </x:c>
      <x:c r="F12" s="199" t="str">
        <x:v>2024-01-08</x:v>
      </x:c>
    </x:row>
    <x:row r="13">
      <x:c r="A13" s="199" t="str">
        <x:v>9</x:v>
      </x:c>
      <x:c r="B13" s="199" t="str">
        <x:v>P1008</x:v>
      </x:c>
      <x:c r="C13" s="199" t="str">
        <x:v>Pediatrics</x:v>
      </x:c>
      <x:c r="D13" s="199" t="str">
        <x:v>6</x:v>
      </x:c>
      <x:c r="E13" s="199" t="str">
        <x:v>Room cleanliness issue</x:v>
      </x:c>
      <x:c r="F13" s="199" t="str">
        <x:v>2024-01-09</x:v>
      </x:c>
    </x:row>
    <x:row r="14">
      <x:c r="A14" s="199" t="str">
        <x:v>10</x:v>
      </x:c>
      <x:c r="B14" s="199" t="str">
        <x:v>P1009</x:v>
      </x:c>
      <x:c r="C14" s="199" t="str">
        <x:v>General</x:v>
      </x:c>
      <x:c r="D14" s="199" t="str">
        <x:v>5</x:v>
      </x:c>
      <x:c r="E14" s="199" t="str">
        <x:v>Delayed response</x:v>
      </x:c>
      <x:c r="F14" s="199" t="str">
        <x:v>2024-01-10</x:v>
      </x:c>
    </x:row>
    <x:row r="15">
      <x:c r="A15" s="199" t="str">
        <x:v>11</x:v>
      </x:c>
      <x:c r="B15" s="199" t="str">
        <x:v>P1010</x:v>
      </x:c>
      <x:c r="C15" s="199" t="str">
        <x:v>Cardiology</x:v>
      </x:c>
      <x:c r="D15" s="199" t="str">
        <x:v>9</x:v>
      </x:c>
      <x:c r="E15" s="199" t="str">
        <x:v>Amazing team</x:v>
      </x:c>
      <x:c r="F15" s="199" t="str">
        <x:v>2024-01-11</x:v>
      </x:c>
    </x:row>
    <x:row r="16">
      <x:c r="A16" s="199" t="str">
        <x:v>12</x:v>
      </x:c>
      <x:c r="B16" s="199" t="str">
        <x:v>P1011</x:v>
      </x:c>
      <x:c r="C16" s="199" t="str">
        <x:v>Orthopedics</x:v>
      </x:c>
      <x:c r="D16" s="199" t="str">
        <x:v>8</x:v>
      </x:c>
      <x:c r="E16" s="199" t="str">
        <x:v>Efficient process</x:v>
      </x:c>
      <x:c r="F16" s="199" t="str">
        <x:v>2024-01-12</x:v>
      </x:c>
    </x:row>
    <x:row r="17">
      <x:c r="A17" s="199" t="str">
        <x:v>13</x:v>
      </x:c>
      <x:c r="B17" s="199" t="str">
        <x:v>P1012</x:v>
      </x:c>
      <x:c r="C17" s="199" t="str">
        <x:v>Neurology</x:v>
      </x:c>
      <x:c r="D17" s="199" t="str">
        <x:v>7</x:v>
      </x:c>
      <x:c r="E17" s="199" t="str">
        <x:v>Satisfactory</x:v>
      </x:c>
      <x:c r="F17" s="199" t="str">
        <x:v>2024-01-13</x:v>
      </x:c>
    </x:row>
    <x:row r="18">
      <x:c r="A18" s="199" t="str">
        <x:v>14</x:v>
      </x:c>
      <x:c r="B18" s="199" t="str">
        <x:v>P1013</x:v>
      </x:c>
      <x:c r="C18" s="199" t="str">
        <x:v>Pediatrics</x:v>
      </x:c>
      <x:c r="D18" s="199" t="str">
        <x:v>5</x:v>
      </x:c>
      <x:c r="E18" s="199" t="str">
        <x:v>Needs improvement</x:v>
      </x:c>
      <x:c r="F18" s="199" t="str">
        <x:v>2024-01-14</x:v>
      </x:c>
    </x:row>
    <x:row r="19">
      <x:c r="A19" s="199" t="str">
        <x:v>15</x:v>
      </x:c>
      <x:c r="B19" s="199" t="str">
        <x:v>P1014</x:v>
      </x:c>
      <x:c r="C19" s="199" t="str">
        <x:v>General</x:v>
      </x:c>
      <x:c r="D19" s="199" t="str">
        <x:v>6</x:v>
      </x:c>
      <x:c r="E19" s="199" t="str">
        <x:v>Very good</x:v>
      </x:c>
      <x:c r="F19" s="199" t="str">
        <x:v>2024-01-15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35a3e6d7e734e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8" customHeight="1">
      <x:c r="A1" s="3" t="str">
        <x:v>Raw Resource Data - Preserved Source Text</x:v>
      </x:c>
      <x:c r="B1" s="3" t="str">
        <x:v>Raw Resource Data - Preserved Source Text</x:v>
      </x:c>
      <x:c r="C1" s="3" t="str">
        <x:v>Raw Resource Data - Preserved Source Text</x:v>
      </x:c>
      <x:c r="D1" s="3" t="str">
        <x:v>Raw Resource Data - Preserved Source Text</x:v>
      </x:c>
      <x:c r="E1" s="3" t="str">
        <x:v>Raw Resource Data - Preserved Source Text</x:v>
      </x:c>
    </x:row>
    <x:row r="2" ht="34" customHeight="1">
      <x:c r="A2" s="70" t="str">
        <x:v>Source: resource_data.csv. UsageHours is preserved as supplied and is not treated as a utilization percentage.</x:v>
      </x:c>
      <x:c r="B2" s="71" t="str">
        <x:v>Source: resource_data.csv. UsageHours is preserved as supplied and is not treated as a utilization percentage.</x:v>
      </x:c>
      <x:c r="C2" s="71" t="str">
        <x:v>Source: resource_data.csv. UsageHours is preserved as supplied and is not treated as a utilization percentage.</x:v>
      </x:c>
      <x:c r="D2" s="71" t="str">
        <x:v>Source: resource_data.csv. UsageHours is preserved as supplied and is not treated as a utilization percentage.</x:v>
      </x:c>
      <x:c r="E2" s="72" t="str">
        <x:v>Source: resource_data.csv. UsageHours is preserved as supplied and is not treated as a utilization percentage.</x:v>
      </x:c>
    </x:row>
    <x:row r="3">
      <x:c r="A3" s="199"/>
      <x:c r="B3" s="199"/>
      <x:c r="C3" s="199"/>
      <x:c r="D3" s="199"/>
      <x:c r="E3" s="199"/>
    </x:row>
    <x:row r="4" ht="32" customHeight="1">
      <x:c r="A4" s="32" t="str">
        <x:v>ResourceID</x:v>
      </x:c>
      <x:c r="B4" s="76" t="str">
        <x:v>ResourceType</x:v>
      </x:c>
      <x:c r="C4" s="76" t="str">
        <x:v>Availability</x:v>
      </x:c>
      <x:c r="D4" s="76" t="str">
        <x:v>UsageHours</x:v>
      </x:c>
      <x:c r="E4" s="33" t="str">
        <x:v>Date</x:v>
      </x:c>
    </x:row>
    <x:row r="5">
      <x:c r="A5" s="199" t="str">
        <x:v>R1</x:v>
      </x:c>
      <x:c r="B5" s="199" t="str">
        <x:v>Doctor</x:v>
      </x:c>
      <x:c r="C5" s="199" t="str">
        <x:v>Available</x:v>
      </x:c>
      <x:c r="D5" s="199" t="str">
        <x:v>8</x:v>
      </x:c>
      <x:c r="E5" s="199" t="str">
        <x:v>2024-01-01</x:v>
      </x:c>
    </x:row>
    <x:row r="6">
      <x:c r="A6" s="199" t="str">
        <x:v>R2</x:v>
      </x:c>
      <x:c r="B6" s="199" t="str">
        <x:v>Nurse</x:v>
      </x:c>
      <x:c r="C6" s="199" t="str">
        <x:v>Unavailable</x:v>
      </x:c>
      <x:c r="D6" s="199" t="str">
        <x:v>0</x:v>
      </x:c>
      <x:c r="E6" s="199" t="str">
        <x:v>2024-01-02</x:v>
      </x:c>
    </x:row>
    <x:row r="7">
      <x:c r="A7" s="199" t="str">
        <x:v>R3</x:v>
      </x:c>
      <x:c r="B7" s="199" t="str">
        <x:v>Equipment</x:v>
      </x:c>
      <x:c r="C7" s="199" t="str">
        <x:v>In Use</x:v>
      </x:c>
      <x:c r="D7" s="199" t="str">
        <x:v>6</x:v>
      </x:c>
      <x:c r="E7" s="199" t="str">
        <x:v>2024-01-03</x:v>
      </x:c>
    </x:row>
    <x:row r="8">
      <x:c r="A8" s="199" t="str">
        <x:v>R4</x:v>
      </x:c>
      <x:c r="B8" s="199" t="str">
        <x:v>Room</x:v>
      </x:c>
      <x:c r="C8" s="199" t="str">
        <x:v>Under Maintenance</x:v>
      </x:c>
      <x:c r="D8" s="199" t="str">
        <x:v>2</x:v>
      </x:c>
      <x:c r="E8" s="199" t="str">
        <x:v>2024-01-04</x:v>
      </x:c>
    </x:row>
    <x:row r="9">
      <x:c r="A9" s="199" t="str">
        <x:v>R5</x:v>
      </x:c>
      <x:c r="B9" s="199" t="str">
        <x:v>Technician</x:v>
      </x:c>
      <x:c r="C9" s="199" t="str">
        <x:v>Available</x:v>
      </x:c>
      <x:c r="D9" s="199" t="str">
        <x:v>10</x:v>
      </x:c>
      <x:c r="E9" s="199" t="str">
        <x:v>2024-01-05</x:v>
      </x:c>
    </x:row>
    <x:row r="10">
      <x:c r="A10" s="199" t="str">
        <x:v>R6</x:v>
      </x:c>
      <x:c r="B10" s="199" t="str">
        <x:v>Doctor</x:v>
      </x:c>
      <x:c r="C10" s="199" t="str">
        <x:v>Available</x:v>
      </x:c>
      <x:c r="D10" s="199" t="str">
        <x:v>8</x:v>
      </x:c>
      <x:c r="E10" s="199" t="str">
        <x:v>2024-01-06</x:v>
      </x:c>
    </x:row>
    <x:row r="11">
      <x:c r="A11" s="199" t="str">
        <x:v>R7</x:v>
      </x:c>
      <x:c r="B11" s="199" t="str">
        <x:v>Nurse</x:v>
      </x:c>
      <x:c r="C11" s="199" t="str">
        <x:v>Unavailable</x:v>
      </x:c>
      <x:c r="D11" s="199" t="str">
        <x:v>0</x:v>
      </x:c>
      <x:c r="E11" s="199" t="str">
        <x:v>2024-01-07</x:v>
      </x:c>
    </x:row>
    <x:row r="12">
      <x:c r="A12" s="199" t="str">
        <x:v>R8</x:v>
      </x:c>
      <x:c r="B12" s="199" t="str">
        <x:v>Equipment</x:v>
      </x:c>
      <x:c r="C12" s="199" t="str">
        <x:v>In Use</x:v>
      </x:c>
      <x:c r="D12" s="199" t="str">
        <x:v>6</x:v>
      </x:c>
      <x:c r="E12" s="199" t="str">
        <x:v>2024-01-08</x:v>
      </x:c>
    </x:row>
    <x:row r="13">
      <x:c r="A13" s="199" t="str">
        <x:v>R9</x:v>
      </x:c>
      <x:c r="B13" s="199" t="str">
        <x:v>Room</x:v>
      </x:c>
      <x:c r="C13" s="199" t="str">
        <x:v>Under Maintenance</x:v>
      </x:c>
      <x:c r="D13" s="199" t="str">
        <x:v>2</x:v>
      </x:c>
      <x:c r="E13" s="199" t="str">
        <x:v>2024-01-09</x:v>
      </x:c>
    </x:row>
    <x:row r="14">
      <x:c r="A14" s="199" t="str">
        <x:v>R10</x:v>
      </x:c>
      <x:c r="B14" s="199" t="str">
        <x:v>Technician</x:v>
      </x:c>
      <x:c r="C14" s="199" t="str">
        <x:v>Available</x:v>
      </x:c>
      <x:c r="D14" s="199" t="str">
        <x:v>10</x:v>
      </x:c>
      <x:c r="E14" s="199" t="str">
        <x:v>2024-01-10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8af640683004a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7" hidden="0" customWidth="1"/>
    <x:col min="5" max="5" width="21" hidden="0" customWidth="1"/>
    <x:col min="6" max="6" width="21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28" customHeight="1">
      <x:c r="A1" s="3" t="str">
        <x:v>Cleaned Appointment Data</x:v>
      </x:c>
      <x:c r="B1" s="3" t="str">
        <x:v>Cleaned Appointment Data</x:v>
      </x:c>
      <x:c r="C1" s="3" t="str">
        <x:v>Cleaned Appointment Data</x:v>
      </x:c>
      <x:c r="D1" s="3" t="str">
        <x:v>Cleaned Appointment Data</x:v>
      </x:c>
      <x:c r="E1" s="3" t="str">
        <x:v>Cleaned Appointment Data</x:v>
      </x:c>
      <x:c r="F1" s="3" t="str">
        <x:v>Cleaned Appointment Data</x:v>
      </x:c>
      <x:c r="G1" s="3" t="str">
        <x:v>Cleaned Appointment Data</x:v>
      </x:c>
      <x:c r="H1" s="3" t="str">
        <x:v>Cleaned Appointment Data</x:v>
      </x:c>
      <x:c r="I1" s="3" t="str">
        <x:v>Cleaned Appointment Data</x:v>
      </x:c>
      <x:c r="J1" s="3" t="str">
        <x:v>Cleaned Appointment Data</x:v>
      </x:c>
      <x:c r="K1" s="3" t="str">
        <x:v>Cleaned Appointment Data</x:v>
      </x:c>
      <x:c r="L1" s="3" t="str">
        <x:v>Cleaned Appointment Data</x:v>
      </x:c>
      <x:c r="M1" s="3" t="str">
        <x:v>Cleaned Appointment Data</x:v>
      </x:c>
      <x:c r="N1" s="3" t="str">
        <x:v>Cleaned Appointment Data</x:v>
      </x:c>
      <x:c r="O1" s="3" t="str">
        <x:v>Cleaned Appointment Data</x:v>
      </x:c>
    </x:row>
    <x:row r="2" ht="34" customHeight="1">
      <x:c r="A2" s="89" t="str">
        <x:v>Dates/times are true Excel values. Helper columns are formula-driven. Exact doctor/date/time duplicates are not the same as overlapping double bookings because duration and end time are missing.</x:v>
      </x:c>
      <x:c r="B2" s="90" t="str">
        <x:v>Dates/times are true Excel values. Helper columns are formula-driven. Exact doctor/date/time duplicates are not the same as overlapping double bookings because duration and end time are missing.</x:v>
      </x:c>
      <x:c r="C2" s="90" t="str">
        <x:v>Dates/times are true Excel values. Helper columns are formula-driven. Exact doctor/date/time duplicates are not the same as overlapping double bookings because duration and end time are missing.</x:v>
      </x:c>
      <x:c r="D2" s="90" t="str">
        <x:v>Dates/times are true Excel values. Helper columns are formula-driven. Exact doctor/date/time duplicates are not the same as overlapping double bookings because duration and end time are missing.</x:v>
      </x:c>
      <x:c r="E2" s="90" t="str">
        <x:v>Dates/times are true Excel values. Helper columns are formula-driven. Exact doctor/date/time duplicates are not the same as overlapping double bookings because duration and end time are missing.</x:v>
      </x:c>
      <x:c r="F2" s="90" t="str">
        <x:v>Dates/times are true Excel values. Helper columns are formula-driven. Exact doctor/date/time duplicates are not the same as overlapping double bookings because duration and end time are missing.</x:v>
      </x:c>
      <x:c r="G2" s="90" t="str">
        <x:v>Dates/times are true Excel values. Helper columns are formula-driven. Exact doctor/date/time duplicates are not the same as overlapping double bookings because duration and end time are missing.</x:v>
      </x:c>
      <x:c r="H2" s="90" t="str">
        <x:v>Dates/times are true Excel values. Helper columns are formula-driven. Exact doctor/date/time duplicates are not the same as overlapping double bookings because duration and end time are missing.</x:v>
      </x:c>
      <x:c r="I2" s="90" t="str">
        <x:v>Dates/times are true Excel values. Helper columns are formula-driven. Exact doctor/date/time duplicates are not the same as overlapping double bookings because duration and end time are missing.</x:v>
      </x:c>
      <x:c r="J2" s="90" t="str">
        <x:v>Dates/times are true Excel values. Helper columns are formula-driven. Exact doctor/date/time duplicates are not the same as overlapping double bookings because duration and end time are missing.</x:v>
      </x:c>
      <x:c r="K2" s="90" t="str">
        <x:v>Dates/times are true Excel values. Helper columns are formula-driven. Exact doctor/date/time duplicates are not the same as overlapping double bookings because duration and end time are missing.</x:v>
      </x:c>
      <x:c r="L2" s="90" t="str">
        <x:v>Dates/times are true Excel values. Helper columns are formula-driven. Exact doctor/date/time duplicates are not the same as overlapping double bookings because duration and end time are missing.</x:v>
      </x:c>
      <x:c r="M2" s="90" t="str">
        <x:v>Dates/times are true Excel values. Helper columns are formula-driven. Exact doctor/date/time duplicates are not the same as overlapping double bookings because duration and end time are missing.</x:v>
      </x:c>
      <x:c r="N2" s="90" t="str">
        <x:v>Dates/times are true Excel values. Helper columns are formula-driven. Exact doctor/date/time duplicates are not the same as overlapping double bookings because duration and end time are missing.</x:v>
      </x:c>
      <x:c r="O2" s="91" t="str">
        <x:v>Dates/times are true Excel values. Helper columns are formula-driven. Exact doctor/date/time duplicates are not the same as overlapping double bookings because duration and end time are missing.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  <x:c r="M3" s="199"/>
      <x:c r="N3" s="199"/>
      <x:c r="O3" s="199"/>
    </x:row>
    <x:row r="4" ht="32" customHeight="1">
      <x:c r="A4" s="32" t="str">
        <x:v>Appointment ID</x:v>
      </x:c>
      <x:c r="B4" s="76" t="str">
        <x:v>Patient ID</x:v>
      </x:c>
      <x:c r="C4" s="76" t="str">
        <x:v>Doctor ID</x:v>
      </x:c>
      <x:c r="D4" s="76" t="str">
        <x:v>Department</x:v>
      </x:c>
      <x:c r="E4" s="76" t="str">
        <x:v>Appointment Date</x:v>
      </x:c>
      <x:c r="F4" s="76" t="str">
        <x:v>Appointment Time</x:v>
      </x:c>
      <x:c r="G4" s="76" t="str">
        <x:v>Appointment DateTime</x:v>
      </x:c>
      <x:c r="H4" s="76" t="str">
        <x:v>Day of Week</x:v>
      </x:c>
      <x:c r="I4" s="76" t="str">
        <x:v>Time Slot Label</x:v>
      </x:c>
      <x:c r="J4" s="76" t="str">
        <x:v>Time Band</x:v>
      </x:c>
      <x:c r="K4" s="76" t="str">
        <x:v>Status</x:v>
      </x:c>
      <x:c r="L4" s="76" t="str">
        <x:v>Exact Doctor/Date/Time Count</x:v>
      </x:c>
      <x:c r="M4" s="76" t="str">
        <x:v>Exact Duplicate Review</x:v>
      </x:c>
      <x:c r="N4" s="76" t="str">
        <x:v>Feedback Row Count</x:v>
      </x:c>
      <x:c r="O4" s="33" t="str">
        <x:v>Feedback Match Status</x:v>
      </x:c>
    </x:row>
    <x:row r="5">
      <x:c r="A5" s="200" t="n">
        <x:v>1</x:v>
      </x:c>
      <x:c r="B5" s="199" t="str">
        <x:v>P1000</x:v>
      </x:c>
      <x:c r="C5" s="199" t="str">
        <x:v>D10</x:v>
      </x:c>
      <x:c r="D5" s="199" t="str">
        <x:v>Cardiology</x:v>
      </x:c>
      <x:c r="E5" s="201" t="n">
        <x:v>45292</x:v>
      </x:c>
      <x:c r="F5" s="202" t="n">
        <x:v>0.4166666666666667</x:v>
      </x:c>
      <x:c r="G5" s="203" t="n">
        <x:f>E5+F5</x:f>
        <x:v>45292.416666666664</x:v>
      </x:c>
      <x:c r="H5" s="199" t="str">
        <x:f>TEXT(E5,"dddd")</x:f>
        <x:v>Monday</x:v>
      </x:c>
      <x:c r="I5" s="199" t="str">
        <x:f>TEXT(F5,"hh:mm AM/PM")</x:f>
        <x:v>10:00 AM</x:v>
      </x:c>
      <x:c r="J5" s="199" t="str">
        <x:f>IF(F5&lt;0.5,"Morning","Afternoon")</x:f>
        <x:v>Morning</x:v>
      </x:c>
      <x:c r="K5" s="199" t="str">
        <x:v>Completed</x:v>
      </x:c>
      <x:c r="L5" s="200" t="n">
        <x:f>COUNTIFS($C$5:$C$24,C5,$E$5:$E$24,E5,$F$5:$F$24,F5)</x:f>
        <x:v>1</x:v>
      </x:c>
      <x:c r="M5" s="200" t="str">
        <x:f>IF(L5&gt;1,"Review","No exact duplicate")</x:f>
        <x:v>No exact duplicate</x:v>
      </x:c>
      <x:c r="N5" s="200" t="n">
        <x:f>COUNTIF('Cleaned_Feedback'!$B$5:$B$19,B5)</x:f>
        <x:v>1</x:v>
      </x:c>
      <x:c r="O5" s="199" t="str">
        <x:f>IF(N5=1,"One feedback row",IF(N5=0,"No feedback row","Review"))</x:f>
        <x:v>One feedback row</x:v>
      </x:c>
    </x:row>
    <x:row r="6">
      <x:c r="A6" s="200" t="n">
        <x:v>2</x:v>
      </x:c>
      <x:c r="B6" s="199" t="str">
        <x:v>P1001</x:v>
      </x:c>
      <x:c r="C6" s="199" t="str">
        <x:v>D11</x:v>
      </x:c>
      <x:c r="D6" s="199" t="str">
        <x:v>Orthopedics</x:v>
      </x:c>
      <x:c r="E6" s="201" t="n">
        <x:v>45293</x:v>
      </x:c>
      <x:c r="F6" s="202" t="n">
        <x:v>0.4583333333333333</x:v>
      </x:c>
      <x:c r="G6" s="203" t="n">
        <x:f>E6+F6</x:f>
        <x:v>45293.458333333336</x:v>
      </x:c>
      <x:c r="H6" s="199" t="str">
        <x:f>TEXT(E6,"dddd")</x:f>
        <x:v>Tuesday</x:v>
      </x:c>
      <x:c r="I6" s="199" t="str">
        <x:f>TEXT(F6,"hh:mm AM/PM")</x:f>
        <x:v>11:00 AM</x:v>
      </x:c>
      <x:c r="J6" s="199" t="str">
        <x:f>IF(F6&lt;0.5,"Morning","Afternoon")</x:f>
        <x:v>Morning</x:v>
      </x:c>
      <x:c r="K6" s="199" t="str">
        <x:v>No Show</x:v>
      </x:c>
      <x:c r="L6" s="200" t="n">
        <x:f>COUNTIFS($C$5:$C$24,C6,$E$5:$E$24,E6,$F$5:$F$24,F6)</x:f>
        <x:v>1</x:v>
      </x:c>
      <x:c r="M6" s="200" t="str">
        <x:f>IF(L6&gt;1,"Review","No exact duplicate")</x:f>
        <x:v>No exact duplicate</x:v>
      </x:c>
      <x:c r="N6" s="200" t="n">
        <x:f>COUNTIF('Cleaned_Feedback'!$B$5:$B$19,B6)</x:f>
        <x:v>1</x:v>
      </x:c>
      <x:c r="O6" s="199" t="str">
        <x:f>IF(N6=1,"One feedback row",IF(N6=0,"No feedback row","Review"))</x:f>
        <x:v>One feedback row</x:v>
      </x:c>
    </x:row>
    <x:row r="7">
      <x:c r="A7" s="200" t="n">
        <x:v>3</x:v>
      </x:c>
      <x:c r="B7" s="199" t="str">
        <x:v>P1002</x:v>
      </x:c>
      <x:c r="C7" s="199" t="str">
        <x:v>D12</x:v>
      </x:c>
      <x:c r="D7" s="199" t="str">
        <x:v>Neurology</x:v>
      </x:c>
      <x:c r="E7" s="201" t="n">
        <x:v>45294</x:v>
      </x:c>
      <x:c r="F7" s="202" t="n">
        <x:v>0.5833333333333334</x:v>
      </x:c>
      <x:c r="G7" s="203" t="n">
        <x:f>E7+F7</x:f>
        <x:v>45294.583333333336</x:v>
      </x:c>
      <x:c r="H7" s="199" t="str">
        <x:f>TEXT(E7,"dddd")</x:f>
        <x:v>Wednesday</x:v>
      </x:c>
      <x:c r="I7" s="199" t="str">
        <x:f>TEXT(F7,"hh:mm AM/PM")</x:f>
        <x:v>02:00 PM</x:v>
      </x:c>
      <x:c r="J7" s="199" t="str">
        <x:f>IF(F7&lt;0.5,"Morning","Afternoon")</x:f>
        <x:v>Afternoon</x:v>
      </x:c>
      <x:c r="K7" s="199" t="str">
        <x:v>Rescheduled</x:v>
      </x:c>
      <x:c r="L7" s="200" t="n">
        <x:f>COUNTIFS($C$5:$C$24,C7,$E$5:$E$24,E7,$F$5:$F$24,F7)</x:f>
        <x:v>1</x:v>
      </x:c>
      <x:c r="M7" s="200" t="str">
        <x:f>IF(L7&gt;1,"Review","No exact duplicate")</x:f>
        <x:v>No exact duplicate</x:v>
      </x:c>
      <x:c r="N7" s="200" t="n">
        <x:f>COUNTIF('Cleaned_Feedback'!$B$5:$B$19,B7)</x:f>
        <x:v>1</x:v>
      </x:c>
      <x:c r="O7" s="199" t="str">
        <x:f>IF(N7=1,"One feedback row",IF(N7=0,"No feedback row","Review"))</x:f>
        <x:v>One feedback row</x:v>
      </x:c>
    </x:row>
    <x:row r="8">
      <x:c r="A8" s="200" t="n">
        <x:v>4</x:v>
      </x:c>
      <x:c r="B8" s="199" t="str">
        <x:v>P1003</x:v>
      </x:c>
      <x:c r="C8" s="199" t="str">
        <x:v>D13</x:v>
      </x:c>
      <x:c r="D8" s="199" t="str">
        <x:v>Pediatrics</x:v>
      </x:c>
      <x:c r="E8" s="201" t="n">
        <x:v>45295</x:v>
      </x:c>
      <x:c r="F8" s="202" t="n">
        <x:v>0.625</x:v>
      </x:c>
      <x:c r="G8" s="203" t="n">
        <x:f>E8+F8</x:f>
        <x:v>45295.625</x:v>
      </x:c>
      <x:c r="H8" s="199" t="str">
        <x:f>TEXT(E8,"dddd")</x:f>
        <x:v>Thursday</x:v>
      </x:c>
      <x:c r="I8" s="199" t="str">
        <x:f>TEXT(F8,"hh:mm AM/PM")</x:f>
        <x:v>03:00 PM</x:v>
      </x:c>
      <x:c r="J8" s="199" t="str">
        <x:f>IF(F8&lt;0.5,"Morning","Afternoon")</x:f>
        <x:v>Afternoon</x:v>
      </x:c>
      <x:c r="K8" s="199" t="str">
        <x:v>Cancelled</x:v>
      </x:c>
      <x:c r="L8" s="200" t="n">
        <x:f>COUNTIFS($C$5:$C$24,C8,$E$5:$E$24,E8,$F$5:$F$24,F8)</x:f>
        <x:v>1</x:v>
      </x:c>
      <x:c r="M8" s="200" t="str">
        <x:f>IF(L8&gt;1,"Review","No exact duplicate")</x:f>
        <x:v>No exact duplicate</x:v>
      </x:c>
      <x:c r="N8" s="200" t="n">
        <x:f>COUNTIF('Cleaned_Feedback'!$B$5:$B$19,B8)</x:f>
        <x:v>1</x:v>
      </x:c>
      <x:c r="O8" s="199" t="str">
        <x:f>IF(N8=1,"One feedback row",IF(N8=0,"No feedback row","Review"))</x:f>
        <x:v>One feedback row</x:v>
      </x:c>
    </x:row>
    <x:row r="9">
      <x:c r="A9" s="200" t="n">
        <x:v>5</x:v>
      </x:c>
      <x:c r="B9" s="199" t="str">
        <x:v>P1004</x:v>
      </x:c>
      <x:c r="C9" s="199" t="str">
        <x:v>D14</x:v>
      </x:c>
      <x:c r="D9" s="199" t="str">
        <x:v>General</x:v>
      </x:c>
      <x:c r="E9" s="201" t="n">
        <x:v>45296</x:v>
      </x:c>
      <x:c r="F9" s="202" t="n">
        <x:v>0.6666666666666666</x:v>
      </x:c>
      <x:c r="G9" s="203" t="n">
        <x:f>E9+F9</x:f>
        <x:v>45296.666666666664</x:v>
      </x:c>
      <x:c r="H9" s="199" t="str">
        <x:f>TEXT(E9,"dddd")</x:f>
        <x:v>Friday</x:v>
      </x:c>
      <x:c r="I9" s="199" t="str">
        <x:f>TEXT(F9,"hh:mm AM/PM")</x:f>
        <x:v>04:00 PM</x:v>
      </x:c>
      <x:c r="J9" s="199" t="str">
        <x:f>IF(F9&lt;0.5,"Morning","Afternoon")</x:f>
        <x:v>Afternoon</x:v>
      </x:c>
      <x:c r="K9" s="199" t="str">
        <x:v>Completed</x:v>
      </x:c>
      <x:c r="L9" s="200" t="n">
        <x:f>COUNTIFS($C$5:$C$24,C9,$E$5:$E$24,E9,$F$5:$F$24,F9)</x:f>
        <x:v>1</x:v>
      </x:c>
      <x:c r="M9" s="200" t="str">
        <x:f>IF(L9&gt;1,"Review","No exact duplicate")</x:f>
        <x:v>No exact duplicate</x:v>
      </x:c>
      <x:c r="N9" s="200" t="n">
        <x:f>COUNTIF('Cleaned_Feedback'!$B$5:$B$19,B9)</x:f>
        <x:v>1</x:v>
      </x:c>
      <x:c r="O9" s="199" t="str">
        <x:f>IF(N9=1,"One feedback row",IF(N9=0,"No feedback row","Review"))</x:f>
        <x:v>One feedback row</x:v>
      </x:c>
    </x:row>
    <x:row r="10">
      <x:c r="A10" s="200" t="n">
        <x:v>6</x:v>
      </x:c>
      <x:c r="B10" s="199" t="str">
        <x:v>P1005</x:v>
      </x:c>
      <x:c r="C10" s="199" t="str">
        <x:v>D10</x:v>
      </x:c>
      <x:c r="D10" s="199" t="str">
        <x:v>Cardiology</x:v>
      </x:c>
      <x:c r="E10" s="201" t="n">
        <x:v>45297</x:v>
      </x:c>
      <x:c r="F10" s="202" t="n">
        <x:v>0.4166666666666667</x:v>
      </x:c>
      <x:c r="G10" s="203" t="n">
        <x:f>E10+F10</x:f>
        <x:v>45297.416666666664</x:v>
      </x:c>
      <x:c r="H10" s="199" t="str">
        <x:f>TEXT(E10,"dddd")</x:f>
        <x:v>Saturday</x:v>
      </x:c>
      <x:c r="I10" s="199" t="str">
        <x:f>TEXT(F10,"hh:mm AM/PM")</x:f>
        <x:v>10:00 AM</x:v>
      </x:c>
      <x:c r="J10" s="199" t="str">
        <x:f>IF(F10&lt;0.5,"Morning","Afternoon")</x:f>
        <x:v>Morning</x:v>
      </x:c>
      <x:c r="K10" s="199" t="str">
        <x:v>Completed</x:v>
      </x:c>
      <x:c r="L10" s="200" t="n">
        <x:f>COUNTIFS($C$5:$C$24,C10,$E$5:$E$24,E10,$F$5:$F$24,F10)</x:f>
        <x:v>1</x:v>
      </x:c>
      <x:c r="M10" s="200" t="str">
        <x:f>IF(L10&gt;1,"Review","No exact duplicate")</x:f>
        <x:v>No exact duplicate</x:v>
      </x:c>
      <x:c r="N10" s="200" t="n">
        <x:f>COUNTIF('Cleaned_Feedback'!$B$5:$B$19,B10)</x:f>
        <x:v>1</x:v>
      </x:c>
      <x:c r="O10" s="199" t="str">
        <x:f>IF(N10=1,"One feedback row",IF(N10=0,"No feedback row","Review"))</x:f>
        <x:v>One feedback row</x:v>
      </x:c>
    </x:row>
    <x:row r="11">
      <x:c r="A11" s="200" t="n">
        <x:v>7</x:v>
      </x:c>
      <x:c r="B11" s="199" t="str">
        <x:v>P1006</x:v>
      </x:c>
      <x:c r="C11" s="199" t="str">
        <x:v>D11</x:v>
      </x:c>
      <x:c r="D11" s="199" t="str">
        <x:v>Orthopedics</x:v>
      </x:c>
      <x:c r="E11" s="201" t="n">
        <x:v>45298</x:v>
      </x:c>
      <x:c r="F11" s="202" t="n">
        <x:v>0.4583333333333333</x:v>
      </x:c>
      <x:c r="G11" s="203" t="n">
        <x:f>E11+F11</x:f>
        <x:v>45298.458333333336</x:v>
      </x:c>
      <x:c r="H11" s="199" t="str">
        <x:f>TEXT(E11,"dddd")</x:f>
        <x:v>Sunday</x:v>
      </x:c>
      <x:c r="I11" s="199" t="str">
        <x:f>TEXT(F11,"hh:mm AM/PM")</x:f>
        <x:v>11:00 AM</x:v>
      </x:c>
      <x:c r="J11" s="199" t="str">
        <x:f>IF(F11&lt;0.5,"Morning","Afternoon")</x:f>
        <x:v>Morning</x:v>
      </x:c>
      <x:c r="K11" s="199" t="str">
        <x:v>No Show</x:v>
      </x:c>
      <x:c r="L11" s="200" t="n">
        <x:f>COUNTIFS($C$5:$C$24,C11,$E$5:$E$24,E11,$F$5:$F$24,F11)</x:f>
        <x:v>1</x:v>
      </x:c>
      <x:c r="M11" s="200" t="str">
        <x:f>IF(L11&gt;1,"Review","No exact duplicate")</x:f>
        <x:v>No exact duplicate</x:v>
      </x:c>
      <x:c r="N11" s="200" t="n">
        <x:f>COUNTIF('Cleaned_Feedback'!$B$5:$B$19,B11)</x:f>
        <x:v>1</x:v>
      </x:c>
      <x:c r="O11" s="199" t="str">
        <x:f>IF(N11=1,"One feedback row",IF(N11=0,"No feedback row","Review"))</x:f>
        <x:v>One feedback row</x:v>
      </x:c>
    </x:row>
    <x:row r="12">
      <x:c r="A12" s="200" t="n">
        <x:v>8</x:v>
      </x:c>
      <x:c r="B12" s="199" t="str">
        <x:v>P1007</x:v>
      </x:c>
      <x:c r="C12" s="199" t="str">
        <x:v>D12</x:v>
      </x:c>
      <x:c r="D12" s="199" t="str">
        <x:v>Neurology</x:v>
      </x:c>
      <x:c r="E12" s="201" t="n">
        <x:v>45299</x:v>
      </x:c>
      <x:c r="F12" s="202" t="n">
        <x:v>0.5833333333333334</x:v>
      </x:c>
      <x:c r="G12" s="203" t="n">
        <x:f>E12+F12</x:f>
        <x:v>45299.583333333336</x:v>
      </x:c>
      <x:c r="H12" s="199" t="str">
        <x:f>TEXT(E12,"dddd")</x:f>
        <x:v>Monday</x:v>
      </x:c>
      <x:c r="I12" s="199" t="str">
        <x:f>TEXT(F12,"hh:mm AM/PM")</x:f>
        <x:v>02:00 PM</x:v>
      </x:c>
      <x:c r="J12" s="199" t="str">
        <x:f>IF(F12&lt;0.5,"Morning","Afternoon")</x:f>
        <x:v>Afternoon</x:v>
      </x:c>
      <x:c r="K12" s="199" t="str">
        <x:v>Rescheduled</x:v>
      </x:c>
      <x:c r="L12" s="200" t="n">
        <x:f>COUNTIFS($C$5:$C$24,C12,$E$5:$E$24,E12,$F$5:$F$24,F12)</x:f>
        <x:v>1</x:v>
      </x:c>
      <x:c r="M12" s="200" t="str">
        <x:f>IF(L12&gt;1,"Review","No exact duplicate")</x:f>
        <x:v>No exact duplicate</x:v>
      </x:c>
      <x:c r="N12" s="200" t="n">
        <x:f>COUNTIF('Cleaned_Feedback'!$B$5:$B$19,B12)</x:f>
        <x:v>1</x:v>
      </x:c>
      <x:c r="O12" s="199" t="str">
        <x:f>IF(N12=1,"One feedback row",IF(N12=0,"No feedback row","Review"))</x:f>
        <x:v>One feedback row</x:v>
      </x:c>
    </x:row>
    <x:row r="13">
      <x:c r="A13" s="200" t="n">
        <x:v>9</x:v>
      </x:c>
      <x:c r="B13" s="199" t="str">
        <x:v>P1008</x:v>
      </x:c>
      <x:c r="C13" s="199" t="str">
        <x:v>D13</x:v>
      </x:c>
      <x:c r="D13" s="199" t="str">
        <x:v>Pediatrics</x:v>
      </x:c>
      <x:c r="E13" s="201" t="n">
        <x:v>45300</x:v>
      </x:c>
      <x:c r="F13" s="202" t="n">
        <x:v>0.625</x:v>
      </x:c>
      <x:c r="G13" s="203" t="n">
        <x:f>E13+F13</x:f>
        <x:v>45300.625</x:v>
      </x:c>
      <x:c r="H13" s="199" t="str">
        <x:f>TEXT(E13,"dddd")</x:f>
        <x:v>Tuesday</x:v>
      </x:c>
      <x:c r="I13" s="199" t="str">
        <x:f>TEXT(F13,"hh:mm AM/PM")</x:f>
        <x:v>03:00 PM</x:v>
      </x:c>
      <x:c r="J13" s="199" t="str">
        <x:f>IF(F13&lt;0.5,"Morning","Afternoon")</x:f>
        <x:v>Afternoon</x:v>
      </x:c>
      <x:c r="K13" s="199" t="str">
        <x:v>Cancelled</x:v>
      </x:c>
      <x:c r="L13" s="200" t="n">
        <x:f>COUNTIFS($C$5:$C$24,C13,$E$5:$E$24,E13,$F$5:$F$24,F13)</x:f>
        <x:v>1</x:v>
      </x:c>
      <x:c r="M13" s="200" t="str">
        <x:f>IF(L13&gt;1,"Review","No exact duplicate")</x:f>
        <x:v>No exact duplicate</x:v>
      </x:c>
      <x:c r="N13" s="200" t="n">
        <x:f>COUNTIF('Cleaned_Feedback'!$B$5:$B$19,B13)</x:f>
        <x:v>1</x:v>
      </x:c>
      <x:c r="O13" s="199" t="str">
        <x:f>IF(N13=1,"One feedback row",IF(N13=0,"No feedback row","Review"))</x:f>
        <x:v>One feedback row</x:v>
      </x:c>
    </x:row>
    <x:row r="14">
      <x:c r="A14" s="200" t="n">
        <x:v>10</x:v>
      </x:c>
      <x:c r="B14" s="199" t="str">
        <x:v>P1009</x:v>
      </x:c>
      <x:c r="C14" s="199" t="str">
        <x:v>D14</x:v>
      </x:c>
      <x:c r="D14" s="199" t="str">
        <x:v>General</x:v>
      </x:c>
      <x:c r="E14" s="201" t="n">
        <x:v>45301</x:v>
      </x:c>
      <x:c r="F14" s="202" t="n">
        <x:v>0.6666666666666666</x:v>
      </x:c>
      <x:c r="G14" s="203" t="n">
        <x:f>E14+F14</x:f>
        <x:v>45301.666666666664</x:v>
      </x:c>
      <x:c r="H14" s="199" t="str">
        <x:f>TEXT(E14,"dddd")</x:f>
        <x:v>Wednesday</x:v>
      </x:c>
      <x:c r="I14" s="199" t="str">
        <x:f>TEXT(F14,"hh:mm AM/PM")</x:f>
        <x:v>04:00 PM</x:v>
      </x:c>
      <x:c r="J14" s="199" t="str">
        <x:f>IF(F14&lt;0.5,"Morning","Afternoon")</x:f>
        <x:v>Afternoon</x:v>
      </x:c>
      <x:c r="K14" s="199" t="str">
        <x:v>Completed</x:v>
      </x:c>
      <x:c r="L14" s="200" t="n">
        <x:f>COUNTIFS($C$5:$C$24,C14,$E$5:$E$24,E14,$F$5:$F$24,F14)</x:f>
        <x:v>1</x:v>
      </x:c>
      <x:c r="M14" s="200" t="str">
        <x:f>IF(L14&gt;1,"Review","No exact duplicate")</x:f>
        <x:v>No exact duplicate</x:v>
      </x:c>
      <x:c r="N14" s="200" t="n">
        <x:f>COUNTIF('Cleaned_Feedback'!$B$5:$B$19,B14)</x:f>
        <x:v>1</x:v>
      </x:c>
      <x:c r="O14" s="199" t="str">
        <x:f>IF(N14=1,"One feedback row",IF(N14=0,"No feedback row","Review"))</x:f>
        <x:v>One feedback row</x:v>
      </x:c>
    </x:row>
    <x:row r="15">
      <x:c r="A15" s="200" t="n">
        <x:v>11</x:v>
      </x:c>
      <x:c r="B15" s="199" t="str">
        <x:v>P1010</x:v>
      </x:c>
      <x:c r="C15" s="199" t="str">
        <x:v>D10</x:v>
      </x:c>
      <x:c r="D15" s="199" t="str">
        <x:v>Cardiology</x:v>
      </x:c>
      <x:c r="E15" s="201" t="n">
        <x:v>45302</x:v>
      </x:c>
      <x:c r="F15" s="202" t="n">
        <x:v>0.4166666666666667</x:v>
      </x:c>
      <x:c r="G15" s="203" t="n">
        <x:f>E15+F15</x:f>
        <x:v>45302.416666666664</x:v>
      </x:c>
      <x:c r="H15" s="199" t="str">
        <x:f>TEXT(E15,"dddd")</x:f>
        <x:v>Thursday</x:v>
      </x:c>
      <x:c r="I15" s="199" t="str">
        <x:f>TEXT(F15,"hh:mm AM/PM")</x:f>
        <x:v>10:00 AM</x:v>
      </x:c>
      <x:c r="J15" s="199" t="str">
        <x:f>IF(F15&lt;0.5,"Morning","Afternoon")</x:f>
        <x:v>Morning</x:v>
      </x:c>
      <x:c r="K15" s="199" t="str">
        <x:v>Completed</x:v>
      </x:c>
      <x:c r="L15" s="200" t="n">
        <x:f>COUNTIFS($C$5:$C$24,C15,$E$5:$E$24,E15,$F$5:$F$24,F15)</x:f>
        <x:v>1</x:v>
      </x:c>
      <x:c r="M15" s="200" t="str">
        <x:f>IF(L15&gt;1,"Review","No exact duplicate")</x:f>
        <x:v>No exact duplicate</x:v>
      </x:c>
      <x:c r="N15" s="200" t="n">
        <x:f>COUNTIF('Cleaned_Feedback'!$B$5:$B$19,B15)</x:f>
        <x:v>1</x:v>
      </x:c>
      <x:c r="O15" s="199" t="str">
        <x:f>IF(N15=1,"One feedback row",IF(N15=0,"No feedback row","Review"))</x:f>
        <x:v>One feedback row</x:v>
      </x:c>
    </x:row>
    <x:row r="16">
      <x:c r="A16" s="200" t="n">
        <x:v>12</x:v>
      </x:c>
      <x:c r="B16" s="199" t="str">
        <x:v>P1011</x:v>
      </x:c>
      <x:c r="C16" s="199" t="str">
        <x:v>D11</x:v>
      </x:c>
      <x:c r="D16" s="199" t="str">
        <x:v>Orthopedics</x:v>
      </x:c>
      <x:c r="E16" s="201" t="n">
        <x:v>45303</x:v>
      </x:c>
      <x:c r="F16" s="202" t="n">
        <x:v>0.4583333333333333</x:v>
      </x:c>
      <x:c r="G16" s="203" t="n">
        <x:f>E16+F16</x:f>
        <x:v>45303.458333333336</x:v>
      </x:c>
      <x:c r="H16" s="199" t="str">
        <x:f>TEXT(E16,"dddd")</x:f>
        <x:v>Friday</x:v>
      </x:c>
      <x:c r="I16" s="199" t="str">
        <x:f>TEXT(F16,"hh:mm AM/PM")</x:f>
        <x:v>11:00 AM</x:v>
      </x:c>
      <x:c r="J16" s="199" t="str">
        <x:f>IF(F16&lt;0.5,"Morning","Afternoon")</x:f>
        <x:v>Morning</x:v>
      </x:c>
      <x:c r="K16" s="199" t="str">
        <x:v>No Show</x:v>
      </x:c>
      <x:c r="L16" s="200" t="n">
        <x:f>COUNTIFS($C$5:$C$24,C16,$E$5:$E$24,E16,$F$5:$F$24,F16)</x:f>
        <x:v>1</x:v>
      </x:c>
      <x:c r="M16" s="200" t="str">
        <x:f>IF(L16&gt;1,"Review","No exact duplicate")</x:f>
        <x:v>No exact duplicate</x:v>
      </x:c>
      <x:c r="N16" s="200" t="n">
        <x:f>COUNTIF('Cleaned_Feedback'!$B$5:$B$19,B16)</x:f>
        <x:v>1</x:v>
      </x:c>
      <x:c r="O16" s="199" t="str">
        <x:f>IF(N16=1,"One feedback row",IF(N16=0,"No feedback row","Review"))</x:f>
        <x:v>One feedback row</x:v>
      </x:c>
    </x:row>
    <x:row r="17">
      <x:c r="A17" s="200" t="n">
        <x:v>13</x:v>
      </x:c>
      <x:c r="B17" s="199" t="str">
        <x:v>P1012</x:v>
      </x:c>
      <x:c r="C17" s="199" t="str">
        <x:v>D12</x:v>
      </x:c>
      <x:c r="D17" s="199" t="str">
        <x:v>Neurology</x:v>
      </x:c>
      <x:c r="E17" s="201" t="n">
        <x:v>45304</x:v>
      </x:c>
      <x:c r="F17" s="202" t="n">
        <x:v>0.5833333333333334</x:v>
      </x:c>
      <x:c r="G17" s="203" t="n">
        <x:f>E17+F17</x:f>
        <x:v>45304.583333333336</x:v>
      </x:c>
      <x:c r="H17" s="199" t="str">
        <x:f>TEXT(E17,"dddd")</x:f>
        <x:v>Saturday</x:v>
      </x:c>
      <x:c r="I17" s="199" t="str">
        <x:f>TEXT(F17,"hh:mm AM/PM")</x:f>
        <x:v>02:00 PM</x:v>
      </x:c>
      <x:c r="J17" s="199" t="str">
        <x:f>IF(F17&lt;0.5,"Morning","Afternoon")</x:f>
        <x:v>Afternoon</x:v>
      </x:c>
      <x:c r="K17" s="199" t="str">
        <x:v>Rescheduled</x:v>
      </x:c>
      <x:c r="L17" s="200" t="n">
        <x:f>COUNTIFS($C$5:$C$24,C17,$E$5:$E$24,E17,$F$5:$F$24,F17)</x:f>
        <x:v>1</x:v>
      </x:c>
      <x:c r="M17" s="200" t="str">
        <x:f>IF(L17&gt;1,"Review","No exact duplicate")</x:f>
        <x:v>No exact duplicate</x:v>
      </x:c>
      <x:c r="N17" s="200" t="n">
        <x:f>COUNTIF('Cleaned_Feedback'!$B$5:$B$19,B17)</x:f>
        <x:v>1</x:v>
      </x:c>
      <x:c r="O17" s="199" t="str">
        <x:f>IF(N17=1,"One feedback row",IF(N17=0,"No feedback row","Review"))</x:f>
        <x:v>One feedback row</x:v>
      </x:c>
    </x:row>
    <x:row r="18">
      <x:c r="A18" s="200" t="n">
        <x:v>14</x:v>
      </x:c>
      <x:c r="B18" s="199" t="str">
        <x:v>P1013</x:v>
      </x:c>
      <x:c r="C18" s="199" t="str">
        <x:v>D13</x:v>
      </x:c>
      <x:c r="D18" s="199" t="str">
        <x:v>Pediatrics</x:v>
      </x:c>
      <x:c r="E18" s="201" t="n">
        <x:v>45305</x:v>
      </x:c>
      <x:c r="F18" s="202" t="n">
        <x:v>0.625</x:v>
      </x:c>
      <x:c r="G18" s="203" t="n">
        <x:f>E18+F18</x:f>
        <x:v>45305.625</x:v>
      </x:c>
      <x:c r="H18" s="199" t="str">
        <x:f>TEXT(E18,"dddd")</x:f>
        <x:v>Sunday</x:v>
      </x:c>
      <x:c r="I18" s="199" t="str">
        <x:f>TEXT(F18,"hh:mm AM/PM")</x:f>
        <x:v>03:00 PM</x:v>
      </x:c>
      <x:c r="J18" s="199" t="str">
        <x:f>IF(F18&lt;0.5,"Morning","Afternoon")</x:f>
        <x:v>Afternoon</x:v>
      </x:c>
      <x:c r="K18" s="199" t="str">
        <x:v>Cancelled</x:v>
      </x:c>
      <x:c r="L18" s="200" t="n">
        <x:f>COUNTIFS($C$5:$C$24,C18,$E$5:$E$24,E18,$F$5:$F$24,F18)</x:f>
        <x:v>1</x:v>
      </x:c>
      <x:c r="M18" s="200" t="str">
        <x:f>IF(L18&gt;1,"Review","No exact duplicate")</x:f>
        <x:v>No exact duplicate</x:v>
      </x:c>
      <x:c r="N18" s="200" t="n">
        <x:f>COUNTIF('Cleaned_Feedback'!$B$5:$B$19,B18)</x:f>
        <x:v>1</x:v>
      </x:c>
      <x:c r="O18" s="199" t="str">
        <x:f>IF(N18=1,"One feedback row",IF(N18=0,"No feedback row","Review"))</x:f>
        <x:v>One feedback row</x:v>
      </x:c>
    </x:row>
    <x:row r="19">
      <x:c r="A19" s="200" t="n">
        <x:v>15</x:v>
      </x:c>
      <x:c r="B19" s="199" t="str">
        <x:v>P1014</x:v>
      </x:c>
      <x:c r="C19" s="199" t="str">
        <x:v>D14</x:v>
      </x:c>
      <x:c r="D19" s="199" t="str">
        <x:v>General</x:v>
      </x:c>
      <x:c r="E19" s="201" t="n">
        <x:v>45306</x:v>
      </x:c>
      <x:c r="F19" s="202" t="n">
        <x:v>0.6666666666666666</x:v>
      </x:c>
      <x:c r="G19" s="203" t="n">
        <x:f>E19+F19</x:f>
        <x:v>45306.666666666664</x:v>
      </x:c>
      <x:c r="H19" s="199" t="str">
        <x:f>TEXT(E19,"dddd")</x:f>
        <x:v>Monday</x:v>
      </x:c>
      <x:c r="I19" s="199" t="str">
        <x:f>TEXT(F19,"hh:mm AM/PM")</x:f>
        <x:v>04:00 PM</x:v>
      </x:c>
      <x:c r="J19" s="199" t="str">
        <x:f>IF(F19&lt;0.5,"Morning","Afternoon")</x:f>
        <x:v>Afternoon</x:v>
      </x:c>
      <x:c r="K19" s="199" t="str">
        <x:v>Completed</x:v>
      </x:c>
      <x:c r="L19" s="200" t="n">
        <x:f>COUNTIFS($C$5:$C$24,C19,$E$5:$E$24,E19,$F$5:$F$24,F19)</x:f>
        <x:v>1</x:v>
      </x:c>
      <x:c r="M19" s="200" t="str">
        <x:f>IF(L19&gt;1,"Review","No exact duplicate")</x:f>
        <x:v>No exact duplicate</x:v>
      </x:c>
      <x:c r="N19" s="200" t="n">
        <x:f>COUNTIF('Cleaned_Feedback'!$B$5:$B$19,B19)</x:f>
        <x:v>1</x:v>
      </x:c>
      <x:c r="O19" s="199" t="str">
        <x:f>IF(N19=1,"One feedback row",IF(N19=0,"No feedback row","Review"))</x:f>
        <x:v>One feedback row</x:v>
      </x:c>
    </x:row>
    <x:row r="20">
      <x:c r="A20" s="200" t="n">
        <x:v>16</x:v>
      </x:c>
      <x:c r="B20" s="199" t="str">
        <x:v>P1015</x:v>
      </x:c>
      <x:c r="C20" s="199" t="str">
        <x:v>D10</x:v>
      </x:c>
      <x:c r="D20" s="199" t="str">
        <x:v>Cardiology</x:v>
      </x:c>
      <x:c r="E20" s="201" t="n">
        <x:v>45307</x:v>
      </x:c>
      <x:c r="F20" s="202" t="n">
        <x:v>0.4166666666666667</x:v>
      </x:c>
      <x:c r="G20" s="203" t="n">
        <x:f>E20+F20</x:f>
        <x:v>45307.416666666664</x:v>
      </x:c>
      <x:c r="H20" s="199" t="str">
        <x:f>TEXT(E20,"dddd")</x:f>
        <x:v>Tuesday</x:v>
      </x:c>
      <x:c r="I20" s="199" t="str">
        <x:f>TEXT(F20,"hh:mm AM/PM")</x:f>
        <x:v>10:00 AM</x:v>
      </x:c>
      <x:c r="J20" s="199" t="str">
        <x:f>IF(F20&lt;0.5,"Morning","Afternoon")</x:f>
        <x:v>Morning</x:v>
      </x:c>
      <x:c r="K20" s="199" t="str">
        <x:v>Completed</x:v>
      </x:c>
      <x:c r="L20" s="200" t="n">
        <x:f>COUNTIFS($C$5:$C$24,C20,$E$5:$E$24,E20,$F$5:$F$24,F20)</x:f>
        <x:v>1</x:v>
      </x:c>
      <x:c r="M20" s="200" t="str">
        <x:f>IF(L20&gt;1,"Review","No exact duplicate")</x:f>
        <x:v>No exact duplicate</x:v>
      </x:c>
      <x:c r="N20" s="200" t="n">
        <x:f>COUNTIF('Cleaned_Feedback'!$B$5:$B$19,B20)</x:f>
        <x:v>0</x:v>
      </x:c>
      <x:c r="O20" s="199" t="str">
        <x:f>IF(N20=1,"One feedback row",IF(N20=0,"No feedback row","Review"))</x:f>
        <x:v>No feedback row</x:v>
      </x:c>
    </x:row>
    <x:row r="21">
      <x:c r="A21" s="200" t="n">
        <x:v>17</x:v>
      </x:c>
      <x:c r="B21" s="199" t="str">
        <x:v>P1016</x:v>
      </x:c>
      <x:c r="C21" s="199" t="str">
        <x:v>D11</x:v>
      </x:c>
      <x:c r="D21" s="199" t="str">
        <x:v>Orthopedics</x:v>
      </x:c>
      <x:c r="E21" s="201" t="n">
        <x:v>45308</x:v>
      </x:c>
      <x:c r="F21" s="202" t="n">
        <x:v>0.4583333333333333</x:v>
      </x:c>
      <x:c r="G21" s="203" t="n">
        <x:f>E21+F21</x:f>
        <x:v>45308.458333333336</x:v>
      </x:c>
      <x:c r="H21" s="199" t="str">
        <x:f>TEXT(E21,"dddd")</x:f>
        <x:v>Wednesday</x:v>
      </x:c>
      <x:c r="I21" s="199" t="str">
        <x:f>TEXT(F21,"hh:mm AM/PM")</x:f>
        <x:v>11:00 AM</x:v>
      </x:c>
      <x:c r="J21" s="199" t="str">
        <x:f>IF(F21&lt;0.5,"Morning","Afternoon")</x:f>
        <x:v>Morning</x:v>
      </x:c>
      <x:c r="K21" s="199" t="str">
        <x:v>No Show</x:v>
      </x:c>
      <x:c r="L21" s="200" t="n">
        <x:f>COUNTIFS($C$5:$C$24,C21,$E$5:$E$24,E21,$F$5:$F$24,F21)</x:f>
        <x:v>1</x:v>
      </x:c>
      <x:c r="M21" s="200" t="str">
        <x:f>IF(L21&gt;1,"Review","No exact duplicate")</x:f>
        <x:v>No exact duplicate</x:v>
      </x:c>
      <x:c r="N21" s="200" t="n">
        <x:f>COUNTIF('Cleaned_Feedback'!$B$5:$B$19,B21)</x:f>
        <x:v>0</x:v>
      </x:c>
      <x:c r="O21" s="199" t="str">
        <x:f>IF(N21=1,"One feedback row",IF(N21=0,"No feedback row","Review"))</x:f>
        <x:v>No feedback row</x:v>
      </x:c>
    </x:row>
    <x:row r="22">
      <x:c r="A22" s="200" t="n">
        <x:v>18</x:v>
      </x:c>
      <x:c r="B22" s="199" t="str">
        <x:v>P1017</x:v>
      </x:c>
      <x:c r="C22" s="199" t="str">
        <x:v>D12</x:v>
      </x:c>
      <x:c r="D22" s="199" t="str">
        <x:v>Neurology</x:v>
      </x:c>
      <x:c r="E22" s="201" t="n">
        <x:v>45309</x:v>
      </x:c>
      <x:c r="F22" s="202" t="n">
        <x:v>0.5833333333333334</x:v>
      </x:c>
      <x:c r="G22" s="203" t="n">
        <x:f>E22+F22</x:f>
        <x:v>45309.583333333336</x:v>
      </x:c>
      <x:c r="H22" s="199" t="str">
        <x:f>TEXT(E22,"dddd")</x:f>
        <x:v>Thursday</x:v>
      </x:c>
      <x:c r="I22" s="199" t="str">
        <x:f>TEXT(F22,"hh:mm AM/PM")</x:f>
        <x:v>02:00 PM</x:v>
      </x:c>
      <x:c r="J22" s="199" t="str">
        <x:f>IF(F22&lt;0.5,"Morning","Afternoon")</x:f>
        <x:v>Afternoon</x:v>
      </x:c>
      <x:c r="K22" s="199" t="str">
        <x:v>Rescheduled</x:v>
      </x:c>
      <x:c r="L22" s="200" t="n">
        <x:f>COUNTIFS($C$5:$C$24,C22,$E$5:$E$24,E22,$F$5:$F$24,F22)</x:f>
        <x:v>1</x:v>
      </x:c>
      <x:c r="M22" s="200" t="str">
        <x:f>IF(L22&gt;1,"Review","No exact duplicate")</x:f>
        <x:v>No exact duplicate</x:v>
      </x:c>
      <x:c r="N22" s="200" t="n">
        <x:f>COUNTIF('Cleaned_Feedback'!$B$5:$B$19,B22)</x:f>
        <x:v>0</x:v>
      </x:c>
      <x:c r="O22" s="199" t="str">
        <x:f>IF(N22=1,"One feedback row",IF(N22=0,"No feedback row","Review"))</x:f>
        <x:v>No feedback row</x:v>
      </x:c>
    </x:row>
    <x:row r="23">
      <x:c r="A23" s="200" t="n">
        <x:v>19</x:v>
      </x:c>
      <x:c r="B23" s="199" t="str">
        <x:v>P1018</x:v>
      </x:c>
      <x:c r="C23" s="199" t="str">
        <x:v>D13</x:v>
      </x:c>
      <x:c r="D23" s="199" t="str">
        <x:v>Pediatrics</x:v>
      </x:c>
      <x:c r="E23" s="201" t="n">
        <x:v>45310</x:v>
      </x:c>
      <x:c r="F23" s="202" t="n">
        <x:v>0.625</x:v>
      </x:c>
      <x:c r="G23" s="203" t="n">
        <x:f>E23+F23</x:f>
        <x:v>45310.625</x:v>
      </x:c>
      <x:c r="H23" s="199" t="str">
        <x:f>TEXT(E23,"dddd")</x:f>
        <x:v>Friday</x:v>
      </x:c>
      <x:c r="I23" s="199" t="str">
        <x:f>TEXT(F23,"hh:mm AM/PM")</x:f>
        <x:v>03:00 PM</x:v>
      </x:c>
      <x:c r="J23" s="199" t="str">
        <x:f>IF(F23&lt;0.5,"Morning","Afternoon")</x:f>
        <x:v>Afternoon</x:v>
      </x:c>
      <x:c r="K23" s="199" t="str">
        <x:v>Cancelled</x:v>
      </x:c>
      <x:c r="L23" s="200" t="n">
        <x:f>COUNTIFS($C$5:$C$24,C23,$E$5:$E$24,E23,$F$5:$F$24,F23)</x:f>
        <x:v>1</x:v>
      </x:c>
      <x:c r="M23" s="200" t="str">
        <x:f>IF(L23&gt;1,"Review","No exact duplicate")</x:f>
        <x:v>No exact duplicate</x:v>
      </x:c>
      <x:c r="N23" s="200" t="n">
        <x:f>COUNTIF('Cleaned_Feedback'!$B$5:$B$19,B23)</x:f>
        <x:v>0</x:v>
      </x:c>
      <x:c r="O23" s="199" t="str">
        <x:f>IF(N23=1,"One feedback row",IF(N23=0,"No feedback row","Review"))</x:f>
        <x:v>No feedback row</x:v>
      </x:c>
    </x:row>
    <x:row r="24">
      <x:c r="A24" s="200" t="n">
        <x:v>20</x:v>
      </x:c>
      <x:c r="B24" s="199" t="str">
        <x:v>P1019</x:v>
      </x:c>
      <x:c r="C24" s="199" t="str">
        <x:v>D14</x:v>
      </x:c>
      <x:c r="D24" s="199" t="str">
        <x:v>General</x:v>
      </x:c>
      <x:c r="E24" s="201" t="n">
        <x:v>45311</x:v>
      </x:c>
      <x:c r="F24" s="202" t="n">
        <x:v>0.6666666666666666</x:v>
      </x:c>
      <x:c r="G24" s="203" t="n">
        <x:f>E24+F24</x:f>
        <x:v>45311.666666666664</x:v>
      </x:c>
      <x:c r="H24" s="199" t="str">
        <x:f>TEXT(E24,"dddd")</x:f>
        <x:v>Saturday</x:v>
      </x:c>
      <x:c r="I24" s="199" t="str">
        <x:f>TEXT(F24,"hh:mm AM/PM")</x:f>
        <x:v>04:00 PM</x:v>
      </x:c>
      <x:c r="J24" s="199" t="str">
        <x:f>IF(F24&lt;0.5,"Morning","Afternoon")</x:f>
        <x:v>Afternoon</x:v>
      </x:c>
      <x:c r="K24" s="199" t="str">
        <x:v>Completed</x:v>
      </x:c>
      <x:c r="L24" s="200" t="n">
        <x:f>COUNTIFS($C$5:$C$24,C24,$E$5:$E$24,E24,$F$5:$F$24,F24)</x:f>
        <x:v>1</x:v>
      </x:c>
      <x:c r="M24" s="200" t="str">
        <x:f>IF(L24&gt;1,"Review","No exact duplicate")</x:f>
        <x:v>No exact duplicate</x:v>
      </x:c>
      <x:c r="N24" s="200" t="n">
        <x:f>COUNTIF('Cleaned_Feedback'!$B$5:$B$19,B24)</x:f>
        <x:v>0</x:v>
      </x:c>
      <x:c r="O24" s="199" t="str">
        <x:f>IF(N24=1,"One feedback row",IF(N24=0,"No feedback row","Review"))</x:f>
        <x:v>No feedback row</x:v>
      </x:c>
    </x:row>
  </x:sheetData>
  <x:mergeCells>
    <x:mergeCell ref="A1:O1"/>
    <x:mergeCell ref="A2:O2"/>
  </x:mergeCells>
  <x:conditionalFormatting sqref="M5:M24">
    <x:cfRule type="containsText" dxfId="0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c0d3cf295ace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32" hidden="0" customWidth="1"/>
    <x:col min="12" max="12" width="18" hidden="0" customWidth="1"/>
    <x:col min="13" max="13" width="18" hidden="0" customWidth="1"/>
    <x:col min="14" max="14" width="28" hidden="0" customWidth="1"/>
    <x:col min="15" max="15" width="28" hidden="0" customWidth="1"/>
    <x:col min="16" max="16" width="30" hidden="0" customWidth="1"/>
    <x:col min="17" max="17" width="18" hidden="0" customWidth="1"/>
    <x:col min="18" max="18" width="18" hidden="0" customWidth="1"/>
  </x:cols>
  <x:sheetData>
    <x:row r="1" ht="28" customHeight="1">
      <x:c r="A1" s="3" t="str">
        <x:v>Cleaned Feedback and Provisional Appointment Lookup</x:v>
      </x:c>
      <x:c r="B1" s="3" t="str">
        <x:v>Cleaned Feedback and Provisional Appointment Lookup</x:v>
      </x:c>
      <x:c r="C1" s="3" t="str">
        <x:v>Cleaned Feedback and Provisional Appointment Lookup</x:v>
      </x:c>
      <x:c r="D1" s="3" t="str">
        <x:v>Cleaned Feedback and Provisional Appointment Lookup</x:v>
      </x:c>
      <x:c r="E1" s="3" t="str">
        <x:v>Cleaned Feedback and Provisional Appointment Lookup</x:v>
      </x:c>
      <x:c r="F1" s="3" t="str">
        <x:v>Cleaned Feedback and Provisional Appointment Lookup</x:v>
      </x:c>
      <x:c r="G1" s="3" t="str">
        <x:v>Cleaned Feedback and Provisional Appointment Lookup</x:v>
      </x:c>
      <x:c r="H1" s="3" t="str">
        <x:v>Cleaned Feedback and Provisional Appointment Lookup</x:v>
      </x:c>
      <x:c r="I1" s="3" t="str">
        <x:v>Cleaned Feedback and Provisional Appointment Lookup</x:v>
      </x:c>
      <x:c r="J1" s="3" t="str">
        <x:v>Cleaned Feedback and Provisional Appointment Lookup</x:v>
      </x:c>
      <x:c r="K1" s="3" t="str">
        <x:v>Cleaned Feedback and Provisional Appointment Lookup</x:v>
      </x:c>
      <x:c r="L1" s="3" t="str">
        <x:v>Cleaned Feedback and Provisional Appointment Lookup</x:v>
      </x:c>
      <x:c r="M1" s="3" t="str">
        <x:v>Cleaned Feedback and Provisional Appointment Lookup</x:v>
      </x:c>
      <x:c r="N1" s="3" t="str">
        <x:v>Cleaned Feedback and Provisional Appointment Lookup</x:v>
      </x:c>
      <x:c r="O1" s="3" t="str">
        <x:v>Cleaned Feedback and Provisional Appointment Lookup</x:v>
      </x:c>
      <x:c r="P1" s="3" t="str">
        <x:v>Cleaned Feedback and Provisional Appointment Lookup</x:v>
      </x:c>
      <x:c r="Q1" s="3" t="str">
        <x:v>Cleaned Feedback and Provisional Appointment Lookup</x:v>
      </x:c>
      <x:c r="R1" s="3" t="str">
        <x:v>Cleaned Feedback and Provisional Appointment Lookup</x:v>
      </x:c>
    </x:row>
    <x:row r="2" ht="34" customHeight="1">
      <x:c r="A2" s="89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B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C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D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E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F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G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H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I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J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K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L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M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N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O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P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Q2" s="90" t="str">
        <x:v>Patient ID lookup is included because the lab requires it. It is a provisional sample match, not an approved encounter linkage: feedback_data.csv has no AppointmentID. Wait Time remains N/A because required timestamps are absent.</x:v>
      </x:c>
      <x:c r="R2" s="91" t="str">
        <x:v>Patient ID lookup is included because the lab requires it. It is a provisional sample match, not an approved encounter linkage: feedback_data.csv has no AppointmentID. Wait Time remains N/A because required timestamps are absent.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  <x:c r="M3" s="199"/>
      <x:c r="N3" s="199"/>
      <x:c r="O3" s="199"/>
      <x:c r="P3" s="199"/>
      <x:c r="Q3" s="199"/>
      <x:c r="R3" s="199"/>
    </x:row>
    <x:row r="4" ht="32" customHeight="1">
      <x:c r="A4" s="32" t="str">
        <x:v>Feedback ID</x:v>
      </x:c>
      <x:c r="B4" s="76" t="str">
        <x:v>Patient ID</x:v>
      </x:c>
      <x:c r="C4" s="76" t="str">
        <x:v>Appointment Date</x:v>
      </x:c>
      <x:c r="D4" s="76" t="str">
        <x:v>Appointment Time</x:v>
      </x:c>
      <x:c r="E4" s="76" t="str">
        <x:v>Day of Week</x:v>
      </x:c>
      <x:c r="F4" s="76" t="str">
        <x:v>Appointment Department</x:v>
      </x:c>
      <x:c r="G4" s="76" t="str">
        <x:v>Feedback Department</x:v>
      </x:c>
      <x:c r="H4" s="76" t="str">
        <x:v>Department Match</x:v>
      </x:c>
      <x:c r="I4" s="76" t="str">
        <x:v>Appointment Status</x:v>
      </x:c>
      <x:c r="J4" s="76" t="str">
        <x:v>Feedback Score</x:v>
      </x:c>
      <x:c r="K4" s="76" t="str">
        <x:v>Comments</x:v>
      </x:c>
      <x:c r="L4" s="76" t="str">
        <x:v>Feedback Date</x:v>
      </x:c>
      <x:c r="M4" s="76" t="str">
        <x:v>Wait Time (min)</x:v>
      </x:c>
      <x:c r="N4" s="76" t="str">
        <x:v>Satisfaction Level</x:v>
      </x:c>
      <x:c r="O4" s="76" t="str">
        <x:v>Join Status</x:v>
      </x:c>
      <x:c r="P4" s="76" t="str">
        <x:v>Join Caution</x:v>
      </x:c>
      <x:c r="Q4" s="76" t="str">
        <x:v>Score Band</x:v>
      </x:c>
      <x:c r="R4" s="33" t="str">
        <x:v>Time Slot Label</x:v>
      </x:c>
    </x:row>
    <x:row r="5">
      <x:c r="A5" s="200" t="n">
        <x:v>1</x:v>
      </x:c>
      <x:c r="B5" s="199" t="str">
        <x:v>P1000</x:v>
      </x:c>
      <x:c r="C5" s="201" t="n">
        <x:f>IFERROR(VLOOKUP(B5,'Cleaned_Appointment'!$B$5:$K$24,4,FALSE),"N/A")</x:f>
        <x:v>45292</x:v>
      </x:c>
      <x:c r="D5" s="202" t="n">
        <x:f>IFERROR(VLOOKUP(B5,'Cleaned_Appointment'!$B$5:$K$24,5,FALSE),"N/A")</x:f>
        <x:v>0.4166666666666667</x:v>
      </x:c>
      <x:c r="E5" s="199" t="str">
        <x:f>IFERROR(TEXT(C5,"dddd"),"N/A")</x:f>
        <x:v>Monday</x:v>
      </x:c>
      <x:c r="F5" s="199" t="str">
        <x:f>IFERROR(VLOOKUP(B5,'Cleaned_Appointment'!$B$5:$K$24,3,FALSE),"N/A")</x:f>
        <x:v>Cardiology</x:v>
      </x:c>
      <x:c r="G5" s="199" t="str">
        <x:v>Cardiology</x:v>
      </x:c>
      <x:c r="H5" s="199" t="str">
        <x:f>IF(F5=G5,"Match","Review")</x:f>
        <x:v>Match</x:v>
      </x:c>
      <x:c r="I5" s="199" t="str">
        <x:f>IFERROR(VLOOKUP(B5,'Cleaned_Appointment'!$B$5:$K$24,10,FALSE),"N/A")</x:f>
        <x:v>Completed</x:v>
      </x:c>
      <x:c r="J5" s="200" t="n">
        <x:v>8</x:v>
      </x:c>
      <x:c r="K5" s="199" t="str">
        <x:v>Good service</x:v>
      </x:c>
      <x:c r="L5" s="201" t="n">
        <x:v>45292</x:v>
      </x:c>
      <x:c r="M5" s="199" t="str">
        <x:v>N/A</x:v>
      </x:c>
      <x:c r="N5" s="199" t="str">
        <x:f>IF(J5&gt;='Lookups'!$H$4,"High","Low")</x:f>
        <x:v>High</x:v>
      </x:c>
      <x:c r="O5" s="199" t="str">
        <x:f>IF(COUNTIF('Cleaned_Appointment'!$B$5:$B$24,B5)=1,"Unique PatientID match (lab rule)",IF(COUNTIF('Cleaned_Appointment'!$B$5:$B$24,B5)=0,"No match","Ambiguous - review"))</x:f>
        <x:v>Unique PatientID match (lab rule)</x:v>
      </x:c>
      <x:c r="P5" s="199" t="str">
        <x:v>Provisional: no AppointmentID</x:v>
      </x:c>
      <x:c r="Q5" s="199" t="str">
        <x:f>IF(J5&lt;=6,"5-6",IF(J5&lt;=8,"7-8","9"))</x:f>
        <x:v>7-8</x:v>
      </x:c>
      <x:c r="R5" s="199" t="str">
        <x:f>IFERROR(TEXT(D5,"hh:mm AM/PM"),"N/A")</x:f>
        <x:v>10:00 AM</x:v>
      </x:c>
    </x:row>
    <x:row r="6">
      <x:c r="A6" s="200" t="n">
        <x:v>2</x:v>
      </x:c>
      <x:c r="B6" s="199" t="str">
        <x:v>P1001</x:v>
      </x:c>
      <x:c r="C6" s="201" t="n">
        <x:f>IFERROR(VLOOKUP(B6,'Cleaned_Appointment'!$B$5:$K$24,4,FALSE),"N/A")</x:f>
        <x:v>45293</x:v>
      </x:c>
      <x:c r="D6" s="202" t="n">
        <x:f>IFERROR(VLOOKUP(B6,'Cleaned_Appointment'!$B$5:$K$24,5,FALSE),"N/A")</x:f>
        <x:v>0.4583333333333333</x:v>
      </x:c>
      <x:c r="E6" s="199" t="str">
        <x:f>IFERROR(TEXT(C6,"dddd"),"N/A")</x:f>
        <x:v>Tuesday</x:v>
      </x:c>
      <x:c r="F6" s="199" t="str">
        <x:f>IFERROR(VLOOKUP(B6,'Cleaned_Appointment'!$B$5:$K$24,3,FALSE),"N/A")</x:f>
        <x:v>Orthopedics</x:v>
      </x:c>
      <x:c r="G6" s="199" t="str">
        <x:v>Orthopedics</x:v>
      </x:c>
      <x:c r="H6" s="199" t="str">
        <x:f>IF(F6=G6,"Match","Review")</x:f>
        <x:v>Match</x:v>
      </x:c>
      <x:c r="I6" s="199" t="str">
        <x:f>IFERROR(VLOOKUP(B6,'Cleaned_Appointment'!$B$5:$K$24,10,FALSE),"N/A")</x:f>
        <x:v>No Show</x:v>
      </x:c>
      <x:c r="J6" s="200" t="n">
        <x:v>6</x:v>
      </x:c>
      <x:c r="K6" s="199" t="str">
        <x:v>Long wait times</x:v>
      </x:c>
      <x:c r="L6" s="201" t="n">
        <x:v>45293</x:v>
      </x:c>
      <x:c r="M6" s="199" t="str">
        <x:v>N/A</x:v>
      </x:c>
      <x:c r="N6" s="199" t="str">
        <x:f>IF(J6&gt;='Lookups'!$H$4,"High","Low")</x:f>
        <x:v>High</x:v>
      </x:c>
      <x:c r="O6" s="199" t="str">
        <x:f>IF(COUNTIF('Cleaned_Appointment'!$B$5:$B$24,B6)=1,"Unique PatientID match (lab rule)",IF(COUNTIF('Cleaned_Appointment'!$B$5:$B$24,B6)=0,"No match","Ambiguous - review"))</x:f>
        <x:v>Unique PatientID match (lab rule)</x:v>
      </x:c>
      <x:c r="P6" s="199" t="str">
        <x:v>Provisional: no AppointmentID</x:v>
      </x:c>
      <x:c r="Q6" s="199" t="str">
        <x:f>IF(J6&lt;=6,"5-6",IF(J6&lt;=8,"7-8","9"))</x:f>
        <x:v>5-6</x:v>
      </x:c>
      <x:c r="R6" s="199" t="str">
        <x:f>IFERROR(TEXT(D6,"hh:mm AM/PM"),"N/A")</x:f>
        <x:v>11:00 AM</x:v>
      </x:c>
    </x:row>
    <x:row r="7">
      <x:c r="A7" s="200" t="n">
        <x:v>3</x:v>
      </x:c>
      <x:c r="B7" s="199" t="str">
        <x:v>P1002</x:v>
      </x:c>
      <x:c r="C7" s="201" t="n">
        <x:f>IFERROR(VLOOKUP(B7,'Cleaned_Appointment'!$B$5:$K$24,4,FALSE),"N/A")</x:f>
        <x:v>45294</x:v>
      </x:c>
      <x:c r="D7" s="202" t="n">
        <x:f>IFERROR(VLOOKUP(B7,'Cleaned_Appointment'!$B$5:$K$24,5,FALSE),"N/A")</x:f>
        <x:v>0.5833333333333334</x:v>
      </x:c>
      <x:c r="E7" s="199" t="str">
        <x:f>IFERROR(TEXT(C7,"dddd"),"N/A")</x:f>
        <x:v>Wednesday</x:v>
      </x:c>
      <x:c r="F7" s="199" t="str">
        <x:f>IFERROR(VLOOKUP(B7,'Cleaned_Appointment'!$B$5:$K$24,3,FALSE),"N/A")</x:f>
        <x:v>Neurology</x:v>
      </x:c>
      <x:c r="G7" s="199" t="str">
        <x:v>Neurology</x:v>
      </x:c>
      <x:c r="H7" s="199" t="str">
        <x:f>IF(F7=G7,"Match","Review")</x:f>
        <x:v>Match</x:v>
      </x:c>
      <x:c r="I7" s="199" t="str">
        <x:f>IFERROR(VLOOKUP(B7,'Cleaned_Appointment'!$B$5:$K$24,10,FALSE),"N/A")</x:f>
        <x:v>Rescheduled</x:v>
      </x:c>
      <x:c r="J7" s="200" t="n">
        <x:v>9</x:v>
      </x:c>
      <x:c r="K7" s="199" t="str">
        <x:v>Excellent care</x:v>
      </x:c>
      <x:c r="L7" s="201" t="n">
        <x:v>45294</x:v>
      </x:c>
      <x:c r="M7" s="199" t="str">
        <x:v>N/A</x:v>
      </x:c>
      <x:c r="N7" s="199" t="str">
        <x:f>IF(J7&gt;='Lookups'!$H$4,"High","Low")</x:f>
        <x:v>High</x:v>
      </x:c>
      <x:c r="O7" s="199" t="str">
        <x:f>IF(COUNTIF('Cleaned_Appointment'!$B$5:$B$24,B7)=1,"Unique PatientID match (lab rule)",IF(COUNTIF('Cleaned_Appointment'!$B$5:$B$24,B7)=0,"No match","Ambiguous - review"))</x:f>
        <x:v>Unique PatientID match (lab rule)</x:v>
      </x:c>
      <x:c r="P7" s="199" t="str">
        <x:v>Provisional: no AppointmentID</x:v>
      </x:c>
      <x:c r="Q7" s="199" t="str">
        <x:f>IF(J7&lt;=6,"5-6",IF(J7&lt;=8,"7-8","9"))</x:f>
        <x:v>9</x:v>
      </x:c>
      <x:c r="R7" s="199" t="str">
        <x:f>IFERROR(TEXT(D7,"hh:mm AM/PM"),"N/A")</x:f>
        <x:v>02:00 PM</x:v>
      </x:c>
    </x:row>
    <x:row r="8">
      <x:c r="A8" s="200" t="n">
        <x:v>4</x:v>
      </x:c>
      <x:c r="B8" s="199" t="str">
        <x:v>P1003</x:v>
      </x:c>
      <x:c r="C8" s="201" t="n">
        <x:f>IFERROR(VLOOKUP(B8,'Cleaned_Appointment'!$B$5:$K$24,4,FALSE),"N/A")</x:f>
        <x:v>45295</x:v>
      </x:c>
      <x:c r="D8" s="202" t="n">
        <x:f>IFERROR(VLOOKUP(B8,'Cleaned_Appointment'!$B$5:$K$24,5,FALSE),"N/A")</x:f>
        <x:v>0.625</x:v>
      </x:c>
      <x:c r="E8" s="199" t="str">
        <x:f>IFERROR(TEXT(C8,"dddd"),"N/A")</x:f>
        <x:v>Thursday</x:v>
      </x:c>
      <x:c r="F8" s="199" t="str">
        <x:f>IFERROR(VLOOKUP(B8,'Cleaned_Appointment'!$B$5:$K$24,3,FALSE),"N/A")</x:f>
        <x:v>Pediatrics</x:v>
      </x:c>
      <x:c r="G8" s="199" t="str">
        <x:v>Pediatrics</x:v>
      </x:c>
      <x:c r="H8" s="199" t="str">
        <x:f>IF(F8=G8,"Match","Review")</x:f>
        <x:v>Match</x:v>
      </x:c>
      <x:c r="I8" s="199" t="str">
        <x:f>IFERROR(VLOOKUP(B8,'Cleaned_Appointment'!$B$5:$K$24,10,FALSE),"N/A")</x:f>
        <x:v>Cancelled</x:v>
      </x:c>
      <x:c r="J8" s="200" t="n">
        <x:v>7</x:v>
      </x:c>
      <x:c r="K8" s="199" t="str">
        <x:v>Child-friendly staff</x:v>
      </x:c>
      <x:c r="L8" s="201" t="n">
        <x:v>45295</x:v>
      </x:c>
      <x:c r="M8" s="199" t="str">
        <x:v>N/A</x:v>
      </x:c>
      <x:c r="N8" s="199" t="str">
        <x:f>IF(J8&gt;='Lookups'!$H$4,"High","Low")</x:f>
        <x:v>High</x:v>
      </x:c>
      <x:c r="O8" s="199" t="str">
        <x:f>IF(COUNTIF('Cleaned_Appointment'!$B$5:$B$24,B8)=1,"Unique PatientID match (lab rule)",IF(COUNTIF('Cleaned_Appointment'!$B$5:$B$24,B8)=0,"No match","Ambiguous - review"))</x:f>
        <x:v>Unique PatientID match (lab rule)</x:v>
      </x:c>
      <x:c r="P8" s="199" t="str">
        <x:v>Provisional: no AppointmentID</x:v>
      </x:c>
      <x:c r="Q8" s="199" t="str">
        <x:f>IF(J8&lt;=6,"5-6",IF(J8&lt;=8,"7-8","9"))</x:f>
        <x:v>7-8</x:v>
      </x:c>
      <x:c r="R8" s="199" t="str">
        <x:f>IFERROR(TEXT(D8,"hh:mm AM/PM"),"N/A")</x:f>
        <x:v>03:00 PM</x:v>
      </x:c>
    </x:row>
    <x:row r="9">
      <x:c r="A9" s="200" t="n">
        <x:v>5</x:v>
      </x:c>
      <x:c r="B9" s="199" t="str">
        <x:v>P1004</x:v>
      </x:c>
      <x:c r="C9" s="201" t="n">
        <x:f>IFERROR(VLOOKUP(B9,'Cleaned_Appointment'!$B$5:$K$24,4,FALSE),"N/A")</x:f>
        <x:v>45296</x:v>
      </x:c>
      <x:c r="D9" s="202" t="n">
        <x:f>IFERROR(VLOOKUP(B9,'Cleaned_Appointment'!$B$5:$K$24,5,FALSE),"N/A")</x:f>
        <x:v>0.6666666666666666</x:v>
      </x:c>
      <x:c r="E9" s="199" t="str">
        <x:f>IFERROR(TEXT(C9,"dddd"),"N/A")</x:f>
        <x:v>Friday</x:v>
      </x:c>
      <x:c r="F9" s="199" t="str">
        <x:f>IFERROR(VLOOKUP(B9,'Cleaned_Appointment'!$B$5:$K$24,3,FALSE),"N/A")</x:f>
        <x:v>General</x:v>
      </x:c>
      <x:c r="G9" s="199" t="str">
        <x:v>General</x:v>
      </x:c>
      <x:c r="H9" s="199" t="str">
        <x:f>IF(F9=G9,"Match","Review")</x:f>
        <x:v>Match</x:v>
      </x:c>
      <x:c r="I9" s="199" t="str">
        <x:f>IFERROR(VLOOKUP(B9,'Cleaned_Appointment'!$B$5:$K$24,10,FALSE),"N/A")</x:f>
        <x:v>Completed</x:v>
      </x:c>
      <x:c r="J9" s="200" t="n">
        <x:v>5</x:v>
      </x:c>
      <x:c r="K9" s="199" t="str">
        <x:v>Average</x:v>
      </x:c>
      <x:c r="L9" s="201" t="n">
        <x:v>45296</x:v>
      </x:c>
      <x:c r="M9" s="199" t="str">
        <x:v>N/A</x:v>
      </x:c>
      <x:c r="N9" s="199" t="str">
        <x:f>IF(J9&gt;='Lookups'!$H$4,"High","Low")</x:f>
        <x:v>High</x:v>
      </x:c>
      <x:c r="O9" s="199" t="str">
        <x:f>IF(COUNTIF('Cleaned_Appointment'!$B$5:$B$24,B9)=1,"Unique PatientID match (lab rule)",IF(COUNTIF('Cleaned_Appointment'!$B$5:$B$24,B9)=0,"No match","Ambiguous - review"))</x:f>
        <x:v>Unique PatientID match (lab rule)</x:v>
      </x:c>
      <x:c r="P9" s="199" t="str">
        <x:v>Provisional: no AppointmentID</x:v>
      </x:c>
      <x:c r="Q9" s="199" t="str">
        <x:f>IF(J9&lt;=6,"5-6",IF(J9&lt;=8,"7-8","9"))</x:f>
        <x:v>5-6</x:v>
      </x:c>
      <x:c r="R9" s="199" t="str">
        <x:f>IFERROR(TEXT(D9,"hh:mm AM/PM"),"N/A")</x:f>
        <x:v>04:00 PM</x:v>
      </x:c>
    </x:row>
    <x:row r="10">
      <x:c r="A10" s="200" t="n">
        <x:v>6</x:v>
      </x:c>
      <x:c r="B10" s="199" t="str">
        <x:v>P1005</x:v>
      </x:c>
      <x:c r="C10" s="201" t="n">
        <x:f>IFERROR(VLOOKUP(B10,'Cleaned_Appointment'!$B$5:$K$24,4,FALSE),"N/A")</x:f>
        <x:v>45297</x:v>
      </x:c>
      <x:c r="D10" s="202" t="n">
        <x:f>IFERROR(VLOOKUP(B10,'Cleaned_Appointment'!$B$5:$K$24,5,FALSE),"N/A")</x:f>
        <x:v>0.4166666666666667</x:v>
      </x:c>
      <x:c r="E10" s="199" t="str">
        <x:f>IFERROR(TEXT(C10,"dddd"),"N/A")</x:f>
        <x:v>Saturday</x:v>
      </x:c>
      <x:c r="F10" s="199" t="str">
        <x:f>IFERROR(VLOOKUP(B10,'Cleaned_Appointment'!$B$5:$K$24,3,FALSE),"N/A")</x:f>
        <x:v>Cardiology</x:v>
      </x:c>
      <x:c r="G10" s="199" t="str">
        <x:v>Cardiology</x:v>
      </x:c>
      <x:c r="H10" s="199" t="str">
        <x:f>IF(F10=G10,"Match","Review")</x:f>
        <x:v>Match</x:v>
      </x:c>
      <x:c r="I10" s="199" t="str">
        <x:f>IFERROR(VLOOKUP(B10,'Cleaned_Appointment'!$B$5:$K$24,10,FALSE),"N/A")</x:f>
        <x:v>Completed</x:v>
      </x:c>
      <x:c r="J10" s="200" t="n">
        <x:v>8</x:v>
      </x:c>
      <x:c r="K10" s="199" t="str">
        <x:v>Great doctors</x:v>
      </x:c>
      <x:c r="L10" s="201" t="n">
        <x:v>45297</x:v>
      </x:c>
      <x:c r="M10" s="199" t="str">
        <x:v>N/A</x:v>
      </x:c>
      <x:c r="N10" s="199" t="str">
        <x:f>IF(J10&gt;='Lookups'!$H$4,"High","Low")</x:f>
        <x:v>High</x:v>
      </x:c>
      <x:c r="O10" s="199" t="str">
        <x:f>IF(COUNTIF('Cleaned_Appointment'!$B$5:$B$24,B10)=1,"Unique PatientID match (lab rule)",IF(COUNTIF('Cleaned_Appointment'!$B$5:$B$24,B10)=0,"No match","Ambiguous - review"))</x:f>
        <x:v>Unique PatientID match (lab rule)</x:v>
      </x:c>
      <x:c r="P10" s="199" t="str">
        <x:v>Provisional: no AppointmentID</x:v>
      </x:c>
      <x:c r="Q10" s="199" t="str">
        <x:f>IF(J10&lt;=6,"5-6",IF(J10&lt;=8,"7-8","9"))</x:f>
        <x:v>7-8</x:v>
      </x:c>
      <x:c r="R10" s="199" t="str">
        <x:f>IFERROR(TEXT(D10,"hh:mm AM/PM"),"N/A")</x:f>
        <x:v>10:00 AM</x:v>
      </x:c>
    </x:row>
    <x:row r="11">
      <x:c r="A11" s="200" t="n">
        <x:v>7</x:v>
      </x:c>
      <x:c r="B11" s="199" t="str">
        <x:v>P1006</x:v>
      </x:c>
      <x:c r="C11" s="201" t="n">
        <x:f>IFERROR(VLOOKUP(B11,'Cleaned_Appointment'!$B$5:$K$24,4,FALSE),"N/A")</x:f>
        <x:v>45298</x:v>
      </x:c>
      <x:c r="D11" s="202" t="n">
        <x:f>IFERROR(VLOOKUP(B11,'Cleaned_Appointment'!$B$5:$K$24,5,FALSE),"N/A")</x:f>
        <x:v>0.4583333333333333</x:v>
      </x:c>
      <x:c r="E11" s="199" t="str">
        <x:f>IFERROR(TEXT(C11,"dddd"),"N/A")</x:f>
        <x:v>Sunday</x:v>
      </x:c>
      <x:c r="F11" s="199" t="str">
        <x:f>IFERROR(VLOOKUP(B11,'Cleaned_Appointment'!$B$5:$K$24,3,FALSE),"N/A")</x:f>
        <x:v>Orthopedics</x:v>
      </x:c>
      <x:c r="G11" s="199" t="str">
        <x:v>Orthopedics</x:v>
      </x:c>
      <x:c r="H11" s="199" t="str">
        <x:f>IF(F11=G11,"Match","Review")</x:f>
        <x:v>Match</x:v>
      </x:c>
      <x:c r="I11" s="199" t="str">
        <x:f>IFERROR(VLOOKUP(B11,'Cleaned_Appointment'!$B$5:$K$24,10,FALSE),"N/A")</x:f>
        <x:v>No Show</x:v>
      </x:c>
      <x:c r="J11" s="200" t="n">
        <x:v>7</x:v>
      </x:c>
      <x:c r="K11" s="199" t="str">
        <x:v>Helpful staff</x:v>
      </x:c>
      <x:c r="L11" s="201" t="n">
        <x:v>45298</x:v>
      </x:c>
      <x:c r="M11" s="199" t="str">
        <x:v>N/A</x:v>
      </x:c>
      <x:c r="N11" s="199" t="str">
        <x:f>IF(J11&gt;='Lookups'!$H$4,"High","Low")</x:f>
        <x:v>High</x:v>
      </x:c>
      <x:c r="O11" s="199" t="str">
        <x:f>IF(COUNTIF('Cleaned_Appointment'!$B$5:$B$24,B11)=1,"Unique PatientID match (lab rule)",IF(COUNTIF('Cleaned_Appointment'!$B$5:$B$24,B11)=0,"No match","Ambiguous - review"))</x:f>
        <x:v>Unique PatientID match (lab rule)</x:v>
      </x:c>
      <x:c r="P11" s="199" t="str">
        <x:v>Provisional: no AppointmentID</x:v>
      </x:c>
      <x:c r="Q11" s="199" t="str">
        <x:f>IF(J11&lt;=6,"5-6",IF(J11&lt;=8,"7-8","9"))</x:f>
        <x:v>7-8</x:v>
      </x:c>
      <x:c r="R11" s="199" t="str">
        <x:f>IFERROR(TEXT(D11,"hh:mm AM/PM"),"N/A")</x:f>
        <x:v>11:00 AM</x:v>
      </x:c>
    </x:row>
    <x:row r="12">
      <x:c r="A12" s="200" t="n">
        <x:v>8</x:v>
      </x:c>
      <x:c r="B12" s="199" t="str">
        <x:v>P1007</x:v>
      </x:c>
      <x:c r="C12" s="201" t="n">
        <x:f>IFERROR(VLOOKUP(B12,'Cleaned_Appointment'!$B$5:$K$24,4,FALSE),"N/A")</x:f>
        <x:v>45299</x:v>
      </x:c>
      <x:c r="D12" s="202" t="n">
        <x:f>IFERROR(VLOOKUP(B12,'Cleaned_Appointment'!$B$5:$K$24,5,FALSE),"N/A")</x:f>
        <x:v>0.5833333333333334</x:v>
      </x:c>
      <x:c r="E12" s="199" t="str">
        <x:f>IFERROR(TEXT(C12,"dddd"),"N/A")</x:f>
        <x:v>Monday</x:v>
      </x:c>
      <x:c r="F12" s="199" t="str">
        <x:f>IFERROR(VLOOKUP(B12,'Cleaned_Appointment'!$B$5:$K$24,3,FALSE),"N/A")</x:f>
        <x:v>Neurology</x:v>
      </x:c>
      <x:c r="G12" s="199" t="str">
        <x:v>Neurology</x:v>
      </x:c>
      <x:c r="H12" s="199" t="str">
        <x:f>IF(F12=G12,"Match","Review")</x:f>
        <x:v>Match</x:v>
      </x:c>
      <x:c r="I12" s="199" t="str">
        <x:f>IFERROR(VLOOKUP(B12,'Cleaned_Appointment'!$B$5:$K$24,10,FALSE),"N/A")</x:f>
        <x:v>Rescheduled</x:v>
      </x:c>
      <x:c r="J12" s="200" t="n">
        <x:v>9</x:v>
      </x:c>
      <x:c r="K12" s="199" t="str">
        <x:v>Highly recommended</x:v>
      </x:c>
      <x:c r="L12" s="201" t="n">
        <x:v>45299</x:v>
      </x:c>
      <x:c r="M12" s="199" t="str">
        <x:v>N/A</x:v>
      </x:c>
      <x:c r="N12" s="199" t="str">
        <x:f>IF(J12&gt;='Lookups'!$H$4,"High","Low")</x:f>
        <x:v>High</x:v>
      </x:c>
      <x:c r="O12" s="199" t="str">
        <x:f>IF(COUNTIF('Cleaned_Appointment'!$B$5:$B$24,B12)=1,"Unique PatientID match (lab rule)",IF(COUNTIF('Cleaned_Appointment'!$B$5:$B$24,B12)=0,"No match","Ambiguous - review"))</x:f>
        <x:v>Unique PatientID match (lab rule)</x:v>
      </x:c>
      <x:c r="P12" s="199" t="str">
        <x:v>Provisional: no AppointmentID</x:v>
      </x:c>
      <x:c r="Q12" s="199" t="str">
        <x:f>IF(J12&lt;=6,"5-6",IF(J12&lt;=8,"7-8","9"))</x:f>
        <x:v>9</x:v>
      </x:c>
      <x:c r="R12" s="199" t="str">
        <x:f>IFERROR(TEXT(D12,"hh:mm AM/PM"),"N/A")</x:f>
        <x:v>02:00 PM</x:v>
      </x:c>
    </x:row>
    <x:row r="13">
      <x:c r="A13" s="200" t="n">
        <x:v>9</x:v>
      </x:c>
      <x:c r="B13" s="199" t="str">
        <x:v>P1008</x:v>
      </x:c>
      <x:c r="C13" s="201" t="n">
        <x:f>IFERROR(VLOOKUP(B13,'Cleaned_Appointment'!$B$5:$K$24,4,FALSE),"N/A")</x:f>
        <x:v>45300</x:v>
      </x:c>
      <x:c r="D13" s="202" t="n">
        <x:f>IFERROR(VLOOKUP(B13,'Cleaned_Appointment'!$B$5:$K$24,5,FALSE),"N/A")</x:f>
        <x:v>0.625</x:v>
      </x:c>
      <x:c r="E13" s="199" t="str">
        <x:f>IFERROR(TEXT(C13,"dddd"),"N/A")</x:f>
        <x:v>Tuesday</x:v>
      </x:c>
      <x:c r="F13" s="199" t="str">
        <x:f>IFERROR(VLOOKUP(B13,'Cleaned_Appointment'!$B$5:$K$24,3,FALSE),"N/A")</x:f>
        <x:v>Pediatrics</x:v>
      </x:c>
      <x:c r="G13" s="199" t="str">
        <x:v>Pediatrics</x:v>
      </x:c>
      <x:c r="H13" s="199" t="str">
        <x:f>IF(F13=G13,"Match","Review")</x:f>
        <x:v>Match</x:v>
      </x:c>
      <x:c r="I13" s="199" t="str">
        <x:f>IFERROR(VLOOKUP(B13,'Cleaned_Appointment'!$B$5:$K$24,10,FALSE),"N/A")</x:f>
        <x:v>Cancelled</x:v>
      </x:c>
      <x:c r="J13" s="200" t="n">
        <x:v>6</x:v>
      </x:c>
      <x:c r="K13" s="199" t="str">
        <x:v>Room cleanliness issue</x:v>
      </x:c>
      <x:c r="L13" s="201" t="n">
        <x:v>45300</x:v>
      </x:c>
      <x:c r="M13" s="199" t="str">
        <x:v>N/A</x:v>
      </x:c>
      <x:c r="N13" s="199" t="str">
        <x:f>IF(J13&gt;='Lookups'!$H$4,"High","Low")</x:f>
        <x:v>High</x:v>
      </x:c>
      <x:c r="O13" s="199" t="str">
        <x:f>IF(COUNTIF('Cleaned_Appointment'!$B$5:$B$24,B13)=1,"Unique PatientID match (lab rule)",IF(COUNTIF('Cleaned_Appointment'!$B$5:$B$24,B13)=0,"No match","Ambiguous - review"))</x:f>
        <x:v>Unique PatientID match (lab rule)</x:v>
      </x:c>
      <x:c r="P13" s="199" t="str">
        <x:v>Provisional: no AppointmentID</x:v>
      </x:c>
      <x:c r="Q13" s="199" t="str">
        <x:f>IF(J13&lt;=6,"5-6",IF(J13&lt;=8,"7-8","9"))</x:f>
        <x:v>5-6</x:v>
      </x:c>
      <x:c r="R13" s="199" t="str">
        <x:f>IFERROR(TEXT(D13,"hh:mm AM/PM"),"N/A")</x:f>
        <x:v>03:00 PM</x:v>
      </x:c>
    </x:row>
    <x:row r="14">
      <x:c r="A14" s="200" t="n">
        <x:v>10</x:v>
      </x:c>
      <x:c r="B14" s="199" t="str">
        <x:v>P1009</x:v>
      </x:c>
      <x:c r="C14" s="201" t="n">
        <x:f>IFERROR(VLOOKUP(B14,'Cleaned_Appointment'!$B$5:$K$24,4,FALSE),"N/A")</x:f>
        <x:v>45301</x:v>
      </x:c>
      <x:c r="D14" s="202" t="n">
        <x:f>IFERROR(VLOOKUP(B14,'Cleaned_Appointment'!$B$5:$K$24,5,FALSE),"N/A")</x:f>
        <x:v>0.6666666666666666</x:v>
      </x:c>
      <x:c r="E14" s="199" t="str">
        <x:f>IFERROR(TEXT(C14,"dddd"),"N/A")</x:f>
        <x:v>Wednesday</x:v>
      </x:c>
      <x:c r="F14" s="199" t="str">
        <x:f>IFERROR(VLOOKUP(B14,'Cleaned_Appointment'!$B$5:$K$24,3,FALSE),"N/A")</x:f>
        <x:v>General</x:v>
      </x:c>
      <x:c r="G14" s="199" t="str">
        <x:v>General</x:v>
      </x:c>
      <x:c r="H14" s="199" t="str">
        <x:f>IF(F14=G14,"Match","Review")</x:f>
        <x:v>Match</x:v>
      </x:c>
      <x:c r="I14" s="199" t="str">
        <x:f>IFERROR(VLOOKUP(B14,'Cleaned_Appointment'!$B$5:$K$24,10,FALSE),"N/A")</x:f>
        <x:v>Completed</x:v>
      </x:c>
      <x:c r="J14" s="200" t="n">
        <x:v>5</x:v>
      </x:c>
      <x:c r="K14" s="199" t="str">
        <x:v>Delayed response</x:v>
      </x:c>
      <x:c r="L14" s="201" t="n">
        <x:v>45301</x:v>
      </x:c>
      <x:c r="M14" s="199" t="str">
        <x:v>N/A</x:v>
      </x:c>
      <x:c r="N14" s="199" t="str">
        <x:f>IF(J14&gt;='Lookups'!$H$4,"High","Low")</x:f>
        <x:v>High</x:v>
      </x:c>
      <x:c r="O14" s="199" t="str">
        <x:f>IF(COUNTIF('Cleaned_Appointment'!$B$5:$B$24,B14)=1,"Unique PatientID match (lab rule)",IF(COUNTIF('Cleaned_Appointment'!$B$5:$B$24,B14)=0,"No match","Ambiguous - review"))</x:f>
        <x:v>Unique PatientID match (lab rule)</x:v>
      </x:c>
      <x:c r="P14" s="199" t="str">
        <x:v>Provisional: no AppointmentID</x:v>
      </x:c>
      <x:c r="Q14" s="199" t="str">
        <x:f>IF(J14&lt;=6,"5-6",IF(J14&lt;=8,"7-8","9"))</x:f>
        <x:v>5-6</x:v>
      </x:c>
      <x:c r="R14" s="199" t="str">
        <x:f>IFERROR(TEXT(D14,"hh:mm AM/PM"),"N/A")</x:f>
        <x:v>04:00 PM</x:v>
      </x:c>
    </x:row>
    <x:row r="15">
      <x:c r="A15" s="200" t="n">
        <x:v>11</x:v>
      </x:c>
      <x:c r="B15" s="199" t="str">
        <x:v>P1010</x:v>
      </x:c>
      <x:c r="C15" s="201" t="n">
        <x:f>IFERROR(VLOOKUP(B15,'Cleaned_Appointment'!$B$5:$K$24,4,FALSE),"N/A")</x:f>
        <x:v>45302</x:v>
      </x:c>
      <x:c r="D15" s="202" t="n">
        <x:f>IFERROR(VLOOKUP(B15,'Cleaned_Appointment'!$B$5:$K$24,5,FALSE),"N/A")</x:f>
        <x:v>0.4166666666666667</x:v>
      </x:c>
      <x:c r="E15" s="199" t="str">
        <x:f>IFERROR(TEXT(C15,"dddd"),"N/A")</x:f>
        <x:v>Thursday</x:v>
      </x:c>
      <x:c r="F15" s="199" t="str">
        <x:f>IFERROR(VLOOKUP(B15,'Cleaned_Appointment'!$B$5:$K$24,3,FALSE),"N/A")</x:f>
        <x:v>Cardiology</x:v>
      </x:c>
      <x:c r="G15" s="199" t="str">
        <x:v>Cardiology</x:v>
      </x:c>
      <x:c r="H15" s="199" t="str">
        <x:f>IF(F15=G15,"Match","Review")</x:f>
        <x:v>Match</x:v>
      </x:c>
      <x:c r="I15" s="199" t="str">
        <x:f>IFERROR(VLOOKUP(B15,'Cleaned_Appointment'!$B$5:$K$24,10,FALSE),"N/A")</x:f>
        <x:v>Completed</x:v>
      </x:c>
      <x:c r="J15" s="200" t="n">
        <x:v>9</x:v>
      </x:c>
      <x:c r="K15" s="199" t="str">
        <x:v>Amazing team</x:v>
      </x:c>
      <x:c r="L15" s="201" t="n">
        <x:v>45302</x:v>
      </x:c>
      <x:c r="M15" s="199" t="str">
        <x:v>N/A</x:v>
      </x:c>
      <x:c r="N15" s="199" t="str">
        <x:f>IF(J15&gt;='Lookups'!$H$4,"High","Low")</x:f>
        <x:v>High</x:v>
      </x:c>
      <x:c r="O15" s="199" t="str">
        <x:f>IF(COUNTIF('Cleaned_Appointment'!$B$5:$B$24,B15)=1,"Unique PatientID match (lab rule)",IF(COUNTIF('Cleaned_Appointment'!$B$5:$B$24,B15)=0,"No match","Ambiguous - review"))</x:f>
        <x:v>Unique PatientID match (lab rule)</x:v>
      </x:c>
      <x:c r="P15" s="199" t="str">
        <x:v>Provisional: no AppointmentID</x:v>
      </x:c>
      <x:c r="Q15" s="199" t="str">
        <x:f>IF(J15&lt;=6,"5-6",IF(J15&lt;=8,"7-8","9"))</x:f>
        <x:v>9</x:v>
      </x:c>
      <x:c r="R15" s="199" t="str">
        <x:f>IFERROR(TEXT(D15,"hh:mm AM/PM"),"N/A")</x:f>
        <x:v>10:00 AM</x:v>
      </x:c>
    </x:row>
    <x:row r="16">
      <x:c r="A16" s="200" t="n">
        <x:v>12</x:v>
      </x:c>
      <x:c r="B16" s="199" t="str">
        <x:v>P1011</x:v>
      </x:c>
      <x:c r="C16" s="201" t="n">
        <x:f>IFERROR(VLOOKUP(B16,'Cleaned_Appointment'!$B$5:$K$24,4,FALSE),"N/A")</x:f>
        <x:v>45303</x:v>
      </x:c>
      <x:c r="D16" s="202" t="n">
        <x:f>IFERROR(VLOOKUP(B16,'Cleaned_Appointment'!$B$5:$K$24,5,FALSE),"N/A")</x:f>
        <x:v>0.4583333333333333</x:v>
      </x:c>
      <x:c r="E16" s="199" t="str">
        <x:f>IFERROR(TEXT(C16,"dddd"),"N/A")</x:f>
        <x:v>Friday</x:v>
      </x:c>
      <x:c r="F16" s="199" t="str">
        <x:f>IFERROR(VLOOKUP(B16,'Cleaned_Appointment'!$B$5:$K$24,3,FALSE),"N/A")</x:f>
        <x:v>Orthopedics</x:v>
      </x:c>
      <x:c r="G16" s="199" t="str">
        <x:v>Orthopedics</x:v>
      </x:c>
      <x:c r="H16" s="199" t="str">
        <x:f>IF(F16=G16,"Match","Review")</x:f>
        <x:v>Match</x:v>
      </x:c>
      <x:c r="I16" s="199" t="str">
        <x:f>IFERROR(VLOOKUP(B16,'Cleaned_Appointment'!$B$5:$K$24,10,FALSE),"N/A")</x:f>
        <x:v>No Show</x:v>
      </x:c>
      <x:c r="J16" s="200" t="n">
        <x:v>8</x:v>
      </x:c>
      <x:c r="K16" s="199" t="str">
        <x:v>Efficient process</x:v>
      </x:c>
      <x:c r="L16" s="201" t="n">
        <x:v>45303</x:v>
      </x:c>
      <x:c r="M16" s="199" t="str">
        <x:v>N/A</x:v>
      </x:c>
      <x:c r="N16" s="199" t="str">
        <x:f>IF(J16&gt;='Lookups'!$H$4,"High","Low")</x:f>
        <x:v>High</x:v>
      </x:c>
      <x:c r="O16" s="199" t="str">
        <x:f>IF(COUNTIF('Cleaned_Appointment'!$B$5:$B$24,B16)=1,"Unique PatientID match (lab rule)",IF(COUNTIF('Cleaned_Appointment'!$B$5:$B$24,B16)=0,"No match","Ambiguous - review"))</x:f>
        <x:v>Unique PatientID match (lab rule)</x:v>
      </x:c>
      <x:c r="P16" s="199" t="str">
        <x:v>Provisional: no AppointmentID</x:v>
      </x:c>
      <x:c r="Q16" s="199" t="str">
        <x:f>IF(J16&lt;=6,"5-6",IF(J16&lt;=8,"7-8","9"))</x:f>
        <x:v>7-8</x:v>
      </x:c>
      <x:c r="R16" s="199" t="str">
        <x:f>IFERROR(TEXT(D16,"hh:mm AM/PM"),"N/A")</x:f>
        <x:v>11:00 AM</x:v>
      </x:c>
    </x:row>
    <x:row r="17">
      <x:c r="A17" s="200" t="n">
        <x:v>13</x:v>
      </x:c>
      <x:c r="B17" s="199" t="str">
        <x:v>P1012</x:v>
      </x:c>
      <x:c r="C17" s="201" t="n">
        <x:f>IFERROR(VLOOKUP(B17,'Cleaned_Appointment'!$B$5:$K$24,4,FALSE),"N/A")</x:f>
        <x:v>45304</x:v>
      </x:c>
      <x:c r="D17" s="202" t="n">
        <x:f>IFERROR(VLOOKUP(B17,'Cleaned_Appointment'!$B$5:$K$24,5,FALSE),"N/A")</x:f>
        <x:v>0.5833333333333334</x:v>
      </x:c>
      <x:c r="E17" s="199" t="str">
        <x:f>IFERROR(TEXT(C17,"dddd"),"N/A")</x:f>
        <x:v>Saturday</x:v>
      </x:c>
      <x:c r="F17" s="199" t="str">
        <x:f>IFERROR(VLOOKUP(B17,'Cleaned_Appointment'!$B$5:$K$24,3,FALSE),"N/A")</x:f>
        <x:v>Neurology</x:v>
      </x:c>
      <x:c r="G17" s="199" t="str">
        <x:v>Neurology</x:v>
      </x:c>
      <x:c r="H17" s="199" t="str">
        <x:f>IF(F17=G17,"Match","Review")</x:f>
        <x:v>Match</x:v>
      </x:c>
      <x:c r="I17" s="199" t="str">
        <x:f>IFERROR(VLOOKUP(B17,'Cleaned_Appointment'!$B$5:$K$24,10,FALSE),"N/A")</x:f>
        <x:v>Rescheduled</x:v>
      </x:c>
      <x:c r="J17" s="200" t="n">
        <x:v>7</x:v>
      </x:c>
      <x:c r="K17" s="199" t="str">
        <x:v>Satisfactory</x:v>
      </x:c>
      <x:c r="L17" s="201" t="n">
        <x:v>45304</x:v>
      </x:c>
      <x:c r="M17" s="199" t="str">
        <x:v>N/A</x:v>
      </x:c>
      <x:c r="N17" s="199" t="str">
        <x:f>IF(J17&gt;='Lookups'!$H$4,"High","Low")</x:f>
        <x:v>High</x:v>
      </x:c>
      <x:c r="O17" s="199" t="str">
        <x:f>IF(COUNTIF('Cleaned_Appointment'!$B$5:$B$24,B17)=1,"Unique PatientID match (lab rule)",IF(COUNTIF('Cleaned_Appointment'!$B$5:$B$24,B17)=0,"No match","Ambiguous - review"))</x:f>
        <x:v>Unique PatientID match (lab rule)</x:v>
      </x:c>
      <x:c r="P17" s="199" t="str">
        <x:v>Provisional: no AppointmentID</x:v>
      </x:c>
      <x:c r="Q17" s="199" t="str">
        <x:f>IF(J17&lt;=6,"5-6",IF(J17&lt;=8,"7-8","9"))</x:f>
        <x:v>7-8</x:v>
      </x:c>
      <x:c r="R17" s="199" t="str">
        <x:f>IFERROR(TEXT(D17,"hh:mm AM/PM"),"N/A")</x:f>
        <x:v>02:00 PM</x:v>
      </x:c>
    </x:row>
    <x:row r="18">
      <x:c r="A18" s="200" t="n">
        <x:v>14</x:v>
      </x:c>
      <x:c r="B18" s="199" t="str">
        <x:v>P1013</x:v>
      </x:c>
      <x:c r="C18" s="201" t="n">
        <x:f>IFERROR(VLOOKUP(B18,'Cleaned_Appointment'!$B$5:$K$24,4,FALSE),"N/A")</x:f>
        <x:v>45305</x:v>
      </x:c>
      <x:c r="D18" s="202" t="n">
        <x:f>IFERROR(VLOOKUP(B18,'Cleaned_Appointment'!$B$5:$K$24,5,FALSE),"N/A")</x:f>
        <x:v>0.625</x:v>
      </x:c>
      <x:c r="E18" s="199" t="str">
        <x:f>IFERROR(TEXT(C18,"dddd"),"N/A")</x:f>
        <x:v>Sunday</x:v>
      </x:c>
      <x:c r="F18" s="199" t="str">
        <x:f>IFERROR(VLOOKUP(B18,'Cleaned_Appointment'!$B$5:$K$24,3,FALSE),"N/A")</x:f>
        <x:v>Pediatrics</x:v>
      </x:c>
      <x:c r="G18" s="199" t="str">
        <x:v>Pediatrics</x:v>
      </x:c>
      <x:c r="H18" s="199" t="str">
        <x:f>IF(F18=G18,"Match","Review")</x:f>
        <x:v>Match</x:v>
      </x:c>
      <x:c r="I18" s="199" t="str">
        <x:f>IFERROR(VLOOKUP(B18,'Cleaned_Appointment'!$B$5:$K$24,10,FALSE),"N/A")</x:f>
        <x:v>Cancelled</x:v>
      </x:c>
      <x:c r="J18" s="200" t="n">
        <x:v>5</x:v>
      </x:c>
      <x:c r="K18" s="199" t="str">
        <x:v>Needs improvement</x:v>
      </x:c>
      <x:c r="L18" s="201" t="n">
        <x:v>45305</x:v>
      </x:c>
      <x:c r="M18" s="199" t="str">
        <x:v>N/A</x:v>
      </x:c>
      <x:c r="N18" s="199" t="str">
        <x:f>IF(J18&gt;='Lookups'!$H$4,"High","Low")</x:f>
        <x:v>High</x:v>
      </x:c>
      <x:c r="O18" s="199" t="str">
        <x:f>IF(COUNTIF('Cleaned_Appointment'!$B$5:$B$24,B18)=1,"Unique PatientID match (lab rule)",IF(COUNTIF('Cleaned_Appointment'!$B$5:$B$24,B18)=0,"No match","Ambiguous - review"))</x:f>
        <x:v>Unique PatientID match (lab rule)</x:v>
      </x:c>
      <x:c r="P18" s="199" t="str">
        <x:v>Provisional: no AppointmentID</x:v>
      </x:c>
      <x:c r="Q18" s="199" t="str">
        <x:f>IF(J18&lt;=6,"5-6",IF(J18&lt;=8,"7-8","9"))</x:f>
        <x:v>5-6</x:v>
      </x:c>
      <x:c r="R18" s="199" t="str">
        <x:f>IFERROR(TEXT(D18,"hh:mm AM/PM"),"N/A")</x:f>
        <x:v>03:00 PM</x:v>
      </x:c>
    </x:row>
    <x:row r="19">
      <x:c r="A19" s="200" t="n">
        <x:v>15</x:v>
      </x:c>
      <x:c r="B19" s="199" t="str">
        <x:v>P1014</x:v>
      </x:c>
      <x:c r="C19" s="201" t="n">
        <x:f>IFERROR(VLOOKUP(B19,'Cleaned_Appointment'!$B$5:$K$24,4,FALSE),"N/A")</x:f>
        <x:v>45306</x:v>
      </x:c>
      <x:c r="D19" s="202" t="n">
        <x:f>IFERROR(VLOOKUP(B19,'Cleaned_Appointment'!$B$5:$K$24,5,FALSE),"N/A")</x:f>
        <x:v>0.6666666666666666</x:v>
      </x:c>
      <x:c r="E19" s="199" t="str">
        <x:f>IFERROR(TEXT(C19,"dddd"),"N/A")</x:f>
        <x:v>Monday</x:v>
      </x:c>
      <x:c r="F19" s="199" t="str">
        <x:f>IFERROR(VLOOKUP(B19,'Cleaned_Appointment'!$B$5:$K$24,3,FALSE),"N/A")</x:f>
        <x:v>General</x:v>
      </x:c>
      <x:c r="G19" s="199" t="str">
        <x:v>General</x:v>
      </x:c>
      <x:c r="H19" s="199" t="str">
        <x:f>IF(F19=G19,"Match","Review")</x:f>
        <x:v>Match</x:v>
      </x:c>
      <x:c r="I19" s="199" t="str">
        <x:f>IFERROR(VLOOKUP(B19,'Cleaned_Appointment'!$B$5:$K$24,10,FALSE),"N/A")</x:f>
        <x:v>Completed</x:v>
      </x:c>
      <x:c r="J19" s="200" t="n">
        <x:v>6</x:v>
      </x:c>
      <x:c r="K19" s="199" t="str">
        <x:v>Very good</x:v>
      </x:c>
      <x:c r="L19" s="201" t="n">
        <x:v>45306</x:v>
      </x:c>
      <x:c r="M19" s="199" t="str">
        <x:v>N/A</x:v>
      </x:c>
      <x:c r="N19" s="199" t="str">
        <x:f>IF(J19&gt;='Lookups'!$H$4,"High","Low")</x:f>
        <x:v>High</x:v>
      </x:c>
      <x:c r="O19" s="199" t="str">
        <x:f>IF(COUNTIF('Cleaned_Appointment'!$B$5:$B$24,B19)=1,"Unique PatientID match (lab rule)",IF(COUNTIF('Cleaned_Appointment'!$B$5:$B$24,B19)=0,"No match","Ambiguous - review"))</x:f>
        <x:v>Unique PatientID match (lab rule)</x:v>
      </x:c>
      <x:c r="P19" s="199" t="str">
        <x:v>Provisional: no AppointmentID</x:v>
      </x:c>
      <x:c r="Q19" s="199" t="str">
        <x:f>IF(J19&lt;=6,"5-6",IF(J19&lt;=8,"7-8","9"))</x:f>
        <x:v>5-6</x:v>
      </x:c>
      <x:c r="R19" s="199" t="str">
        <x:f>IFERROR(TEXT(D19,"hh:mm AM/PM"),"N/A")</x:f>
        <x:v>04:00 PM</x:v>
      </x:c>
    </x:row>
  </x:sheetData>
  <x:mergeCells>
    <x:mergeCell ref="A1:R1"/>
    <x:mergeCell ref="A2:R2"/>
  </x:mergeCells>
  <x:conditionalFormatting sqref="N5:N19">
    <x:cfRule type="containsText" dxfId="1" priority="1" operator="containsText" text="High"/>
    <x:cfRule type="containsText" dxfId="2" priority="2" operator="containsText" text="Low"/>
  </x:conditionalFormatting>
  <x:conditionalFormatting sqref="H5:H19">
    <x:cfRule type="containsText" dxfId="3" priority="3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316de921f78e4b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23" hidden="0" customWidth="1"/>
    <x:col min="7" max="7" width="34" hidden="0" customWidth="1"/>
  </x:cols>
  <x:sheetData>
    <x:row r="1" ht="28" customHeight="1">
      <x:c r="A1" s="3" t="str">
        <x:v>Cleaned Resource Data</x:v>
      </x:c>
      <x:c r="B1" s="3" t="str">
        <x:v>Cleaned Resource Data</x:v>
      </x:c>
      <x:c r="C1" s="3" t="str">
        <x:v>Cleaned Resource Data</x:v>
      </x:c>
      <x:c r="D1" s="3" t="str">
        <x:v>Cleaned Resource Data</x:v>
      </x:c>
      <x:c r="E1" s="3" t="str">
        <x:v>Cleaned Resource Data</x:v>
      </x:c>
      <x:c r="F1" s="3" t="str">
        <x:v>Cleaned Resource Data</x:v>
      </x:c>
      <x:c r="G1" s="3" t="str">
        <x:v>Cleaned Resource Data</x:v>
      </x:c>
    </x:row>
    <x:row r="2" ht="34" customHeight="1">
      <x:c r="A2" s="89" t="str">
        <x:v>Recorded hours are descriptive only. Capacity, department, location, demand, reservation intervals, and the UsageHours measurement period are absent.</x:v>
      </x:c>
      <x:c r="B2" s="90" t="str">
        <x:v>Recorded hours are descriptive only. Capacity, department, location, demand, reservation intervals, and the UsageHours measurement period are absent.</x:v>
      </x:c>
      <x:c r="C2" s="90" t="str">
        <x:v>Recorded hours are descriptive only. Capacity, department, location, demand, reservation intervals, and the UsageHours measurement period are absent.</x:v>
      </x:c>
      <x:c r="D2" s="90" t="str">
        <x:v>Recorded hours are descriptive only. Capacity, department, location, demand, reservation intervals, and the UsageHours measurement period are absent.</x:v>
      </x:c>
      <x:c r="E2" s="90" t="str">
        <x:v>Recorded hours are descriptive only. Capacity, department, location, demand, reservation intervals, and the UsageHours measurement period are absent.</x:v>
      </x:c>
      <x:c r="F2" s="90" t="str">
        <x:v>Recorded hours are descriptive only. Capacity, department, location, demand, reservation intervals, and the UsageHours measurement period are absent.</x:v>
      </x:c>
      <x:c r="G2" s="91" t="str">
        <x:v>Recorded hours are descriptive only. Capacity, department, location, demand, reservation intervals, and the UsageHours measurement period are absent.</x:v>
      </x:c>
    </x:row>
    <x:row r="3">
      <x:c r="A3" s="199"/>
      <x:c r="B3" s="199"/>
      <x:c r="C3" s="199"/>
      <x:c r="D3" s="199"/>
      <x:c r="E3" s="199"/>
      <x:c r="F3" s="199"/>
      <x:c r="G3" s="199"/>
    </x:row>
    <x:row r="4" ht="32" customHeight="1">
      <x:c r="A4" s="32" t="str">
        <x:v>Resource ID</x:v>
      </x:c>
      <x:c r="B4" s="76" t="str">
        <x:v>Resource Type</x:v>
      </x:c>
      <x:c r="C4" s="76" t="str">
        <x:v>Availability</x:v>
      </x:c>
      <x:c r="D4" s="76" t="str">
        <x:v>Usage Hours</x:v>
      </x:c>
      <x:c r="E4" s="76" t="str">
        <x:v>Date</x:v>
      </x:c>
      <x:c r="F4" s="76" t="str">
        <x:v>Availability Group</x:v>
      </x:c>
      <x:c r="G4" s="33" t="str">
        <x:v>Data Quality Note</x:v>
      </x:c>
    </x:row>
    <x:row r="5">
      <x:c r="A5" s="199" t="str">
        <x:v>R1</x:v>
      </x:c>
      <x:c r="B5" s="199" t="str">
        <x:v>Doctor</x:v>
      </x:c>
      <x:c r="C5" s="199" t="str">
        <x:v>Available</x:v>
      </x:c>
      <x:c r="D5" s="204" t="n">
        <x:v>8</x:v>
      </x:c>
      <x:c r="E5" s="201" t="n">
        <x:v>45292</x:v>
      </x:c>
      <x:c r="F5" s="199" t="str">
        <x:f>IF(C5="Available","Available","Not marked Available")</x:f>
        <x:v>Available</x:v>
      </x:c>
      <x:c r="G5" s="199" t="str">
        <x:f>IF(AND(C5="Under Maintenance",D5&gt;0),"Clarify status/hour definition","")</x:f>
      </x:c>
    </x:row>
    <x:row r="6">
      <x:c r="A6" s="199" t="str">
        <x:v>R2</x:v>
      </x:c>
      <x:c r="B6" s="199" t="str">
        <x:v>Nurse</x:v>
      </x:c>
      <x:c r="C6" s="199" t="str">
        <x:v>Unavailable</x:v>
      </x:c>
      <x:c r="D6" s="204" t="n">
        <x:v>0</x:v>
      </x:c>
      <x:c r="E6" s="201" t="n">
        <x:v>45293</x:v>
      </x:c>
      <x:c r="F6" s="199" t="str">
        <x:f>IF(C6="Available","Available","Not marked Available")</x:f>
        <x:v>Not marked Available</x:v>
      </x:c>
      <x:c r="G6" s="199" t="str">
        <x:f>IF(AND(C6="Under Maintenance",D6&gt;0),"Clarify status/hour definition","")</x:f>
      </x:c>
    </x:row>
    <x:row r="7">
      <x:c r="A7" s="199" t="str">
        <x:v>R3</x:v>
      </x:c>
      <x:c r="B7" s="199" t="str">
        <x:v>Equipment</x:v>
      </x:c>
      <x:c r="C7" s="199" t="str">
        <x:v>In Use</x:v>
      </x:c>
      <x:c r="D7" s="204" t="n">
        <x:v>6</x:v>
      </x:c>
      <x:c r="E7" s="201" t="n">
        <x:v>45294</x:v>
      </x:c>
      <x:c r="F7" s="199" t="str">
        <x:f>IF(C7="Available","Available","Not marked Available")</x:f>
        <x:v>Not marked Available</x:v>
      </x:c>
      <x:c r="G7" s="199" t="str">
        <x:f>IF(AND(C7="Under Maintenance",D7&gt;0),"Clarify status/hour definition","")</x:f>
      </x:c>
    </x:row>
    <x:row r="8">
      <x:c r="A8" s="199" t="str">
        <x:v>R4</x:v>
      </x:c>
      <x:c r="B8" s="199" t="str">
        <x:v>Room</x:v>
      </x:c>
      <x:c r="C8" s="199" t="str">
        <x:v>Under Maintenance</x:v>
      </x:c>
      <x:c r="D8" s="204" t="n">
        <x:v>2</x:v>
      </x:c>
      <x:c r="E8" s="201" t="n">
        <x:v>45295</x:v>
      </x:c>
      <x:c r="F8" s="199" t="str">
        <x:f>IF(C8="Available","Available","Not marked Available")</x:f>
        <x:v>Not marked Available</x:v>
      </x:c>
      <x:c r="G8" s="199" t="str">
        <x:f>IF(AND(C8="Under Maintenance",D8&gt;0),"Clarify status/hour definition","")</x:f>
        <x:v>Clarify status/hour definition</x:v>
      </x:c>
    </x:row>
    <x:row r="9">
      <x:c r="A9" s="199" t="str">
        <x:v>R5</x:v>
      </x:c>
      <x:c r="B9" s="199" t="str">
        <x:v>Technician</x:v>
      </x:c>
      <x:c r="C9" s="199" t="str">
        <x:v>Available</x:v>
      </x:c>
      <x:c r="D9" s="204" t="n">
        <x:v>10</x:v>
      </x:c>
      <x:c r="E9" s="201" t="n">
        <x:v>45296</x:v>
      </x:c>
      <x:c r="F9" s="199" t="str">
        <x:f>IF(C9="Available","Available","Not marked Available")</x:f>
        <x:v>Available</x:v>
      </x:c>
      <x:c r="G9" s="199" t="str">
        <x:f>IF(AND(C9="Under Maintenance",D9&gt;0),"Clarify status/hour definition","")</x:f>
      </x:c>
    </x:row>
    <x:row r="10">
      <x:c r="A10" s="199" t="str">
        <x:v>R6</x:v>
      </x:c>
      <x:c r="B10" s="199" t="str">
        <x:v>Doctor</x:v>
      </x:c>
      <x:c r="C10" s="199" t="str">
        <x:v>Available</x:v>
      </x:c>
      <x:c r="D10" s="204" t="n">
        <x:v>8</x:v>
      </x:c>
      <x:c r="E10" s="201" t="n">
        <x:v>45297</x:v>
      </x:c>
      <x:c r="F10" s="199" t="str">
        <x:f>IF(C10="Available","Available","Not marked Available")</x:f>
        <x:v>Available</x:v>
      </x:c>
      <x:c r="G10" s="199" t="str">
        <x:f>IF(AND(C10="Under Maintenance",D10&gt;0),"Clarify status/hour definition","")</x:f>
      </x:c>
    </x:row>
    <x:row r="11">
      <x:c r="A11" s="199" t="str">
        <x:v>R7</x:v>
      </x:c>
      <x:c r="B11" s="199" t="str">
        <x:v>Nurse</x:v>
      </x:c>
      <x:c r="C11" s="199" t="str">
        <x:v>Unavailable</x:v>
      </x:c>
      <x:c r="D11" s="204" t="n">
        <x:v>0</x:v>
      </x:c>
      <x:c r="E11" s="201" t="n">
        <x:v>45298</x:v>
      </x:c>
      <x:c r="F11" s="199" t="str">
        <x:f>IF(C11="Available","Available","Not marked Available")</x:f>
        <x:v>Not marked Available</x:v>
      </x:c>
      <x:c r="G11" s="199" t="str">
        <x:f>IF(AND(C11="Under Maintenance",D11&gt;0),"Clarify status/hour definition","")</x:f>
      </x:c>
    </x:row>
    <x:row r="12">
      <x:c r="A12" s="199" t="str">
        <x:v>R8</x:v>
      </x:c>
      <x:c r="B12" s="199" t="str">
        <x:v>Equipment</x:v>
      </x:c>
      <x:c r="C12" s="199" t="str">
        <x:v>In Use</x:v>
      </x:c>
      <x:c r="D12" s="204" t="n">
        <x:v>6</x:v>
      </x:c>
      <x:c r="E12" s="201" t="n">
        <x:v>45299</x:v>
      </x:c>
      <x:c r="F12" s="199" t="str">
        <x:f>IF(C12="Available","Available","Not marked Available")</x:f>
        <x:v>Not marked Available</x:v>
      </x:c>
      <x:c r="G12" s="199" t="str">
        <x:f>IF(AND(C12="Under Maintenance",D12&gt;0),"Clarify status/hour definition","")</x:f>
      </x:c>
    </x:row>
    <x:row r="13">
      <x:c r="A13" s="199" t="str">
        <x:v>R9</x:v>
      </x:c>
      <x:c r="B13" s="199" t="str">
        <x:v>Room</x:v>
      </x:c>
      <x:c r="C13" s="199" t="str">
        <x:v>Under Maintenance</x:v>
      </x:c>
      <x:c r="D13" s="204" t="n">
        <x:v>2</x:v>
      </x:c>
      <x:c r="E13" s="201" t="n">
        <x:v>45300</x:v>
      </x:c>
      <x:c r="F13" s="199" t="str">
        <x:f>IF(C13="Available","Available","Not marked Available")</x:f>
        <x:v>Not marked Available</x:v>
      </x:c>
      <x:c r="G13" s="199" t="str">
        <x:f>IF(AND(C13="Under Maintenance",D13&gt;0),"Clarify status/hour definition","")</x:f>
        <x:v>Clarify status/hour definition</x:v>
      </x:c>
    </x:row>
    <x:row r="14">
      <x:c r="A14" s="199" t="str">
        <x:v>R10</x:v>
      </x:c>
      <x:c r="B14" s="199" t="str">
        <x:v>Technician</x:v>
      </x:c>
      <x:c r="C14" s="199" t="str">
        <x:v>Available</x:v>
      </x:c>
      <x:c r="D14" s="204" t="n">
        <x:v>10</x:v>
      </x:c>
      <x:c r="E14" s="201" t="n">
        <x:v>45301</x:v>
      </x:c>
      <x:c r="F14" s="199" t="str">
        <x:f>IF(C14="Available","Available","Not marked Available")</x:f>
        <x:v>Available</x:v>
      </x:c>
      <x:c r="G14" s="199" t="str">
        <x:f>IF(AND(C14="Under Maintenance",D14&gt;0),"Clarify status/hour definition","")</x:f>
      </x:c>
    </x:row>
  </x:sheetData>
  <x:mergeCells>
    <x:mergeCell ref="A1:G1"/>
    <x:mergeCell ref="A2:G2"/>
  </x:mergeCells>
  <x:conditionalFormatting sqref="G5:G14">
    <x:cfRule type="containsText" dxfId="4" priority="1" operator="containsText" text="Clarify"/>
  </x:conditionalFormatting>
  <x:pageMargins left="0.7" right="0.7" top="0.75" bottom="0.75" header="0.3" footer="0.3"/>
  <x:tableParts count="1">
    <x:tablePart xmlns:r="http://schemas.openxmlformats.org/officeDocument/2006/relationships" r:id="Rd26cbe8c67dd4d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20" hidden="0" customWidth="1"/>
    <x:col min="6" max="6" width="20" hidden="0" customWidth="1"/>
    <x:col min="7" max="7" width="3" hidden="0" customWidth="1"/>
    <x:col min="8" max="8" width="19" hidden="0" customWidth="1"/>
    <x:col min="9" max="9" width="19" hidden="0" customWidth="1"/>
    <x:col min="10" max="10" width="3" hidden="0" customWidth="1"/>
    <x:col min="11" max="11" width="20" hidden="0" customWidth="1"/>
    <x:col min="12" max="12" width="20" hidden="0" customWidth="1"/>
  </x:cols>
  <x:sheetData>
    <x:row r="1" ht="28" customHeight="1">
      <x:c r="A1" s="3" t="str">
        <x:v>Appointment Pivot-Style Summaries</x:v>
      </x:c>
      <x:c r="B1" s="3" t="str">
        <x:v>Appointment Pivot-Style Summaries</x:v>
      </x:c>
      <x:c r="C1" s="3" t="str">
        <x:v>Appointment Pivot-Style Summaries</x:v>
      </x:c>
      <x:c r="D1" s="3" t="str">
        <x:v>Appointment Pivot-Style Summaries</x:v>
      </x:c>
      <x:c r="E1" s="3" t="str">
        <x:v>Appointment Pivot-Style Summaries</x:v>
      </x:c>
      <x:c r="F1" s="3" t="str">
        <x:v>Appointment Pivot-Style Summaries</x:v>
      </x:c>
      <x:c r="G1" s="3" t="str">
        <x:v>Appointment Pivot-Style Summaries</x:v>
      </x:c>
      <x:c r="H1" s="3" t="str">
        <x:v>Appointment Pivot-Style Summaries</x:v>
      </x:c>
      <x:c r="I1" s="3" t="str">
        <x:v>Appointment Pivot-Style Summaries</x:v>
      </x:c>
      <x:c r="J1" s="3" t="str">
        <x:v>Appointment Pivot-Style Summaries</x:v>
      </x:c>
      <x:c r="K1" s="3" t="str">
        <x:v>Appointment Pivot-Style Summaries</x:v>
      </x:c>
      <x:c r="L1" s="3" t="str">
        <x:v>Appointment Pivot-Style Summaries</x:v>
      </x:c>
    </x:row>
    <x:row r="2" ht="34" customHeight="1">
      <x:c r="A2" s="89" t="str">
        <x:v>Formula-based summaries; not native PivotTable objects. Counts are based on the 20 supplied appointment rows. All listed times tie, so no unique peak is observed.</x:v>
      </x:c>
      <x:c r="B2" s="90" t="str">
        <x:v>Formula-based summaries; not native PivotTable objects. Counts are based on the 20 supplied appointment rows. All listed times tie, so no unique peak is observed.</x:v>
      </x:c>
      <x:c r="C2" s="90" t="str">
        <x:v>Formula-based summaries; not native PivotTable objects. Counts are based on the 20 supplied appointment rows. All listed times tie, so no unique peak is observed.</x:v>
      </x:c>
      <x:c r="D2" s="90" t="str">
        <x:v>Formula-based summaries; not native PivotTable objects. Counts are based on the 20 supplied appointment rows. All listed times tie, so no unique peak is observed.</x:v>
      </x:c>
      <x:c r="E2" s="90" t="str">
        <x:v>Formula-based summaries; not native PivotTable objects. Counts are based on the 20 supplied appointment rows. All listed times tie, so no unique peak is observed.</x:v>
      </x:c>
      <x:c r="F2" s="90" t="str">
        <x:v>Formula-based summaries; not native PivotTable objects. Counts are based on the 20 supplied appointment rows. All listed times tie, so no unique peak is observed.</x:v>
      </x:c>
      <x:c r="G2" s="90" t="str">
        <x:v>Formula-based summaries; not native PivotTable objects. Counts are based on the 20 supplied appointment rows. All listed times tie, so no unique peak is observed.</x:v>
      </x:c>
      <x:c r="H2" s="90" t="str">
        <x:v>Formula-based summaries; not native PivotTable objects. Counts are based on the 20 supplied appointment rows. All listed times tie, so no unique peak is observed.</x:v>
      </x:c>
      <x:c r="I2" s="90" t="str">
        <x:v>Formula-based summaries; not native PivotTable objects. Counts are based on the 20 supplied appointment rows. All listed times tie, so no unique peak is observed.</x:v>
      </x:c>
      <x:c r="J2" s="90" t="str">
        <x:v>Formula-based summaries; not native PivotTable objects. Counts are based on the 20 supplied appointment rows. All listed times tie, so no unique peak is observed.</x:v>
      </x:c>
      <x:c r="K2" s="90" t="str">
        <x:v>Formula-based summaries; not native PivotTable objects. Counts are based on the 20 supplied appointment rows. All listed times tie, so no unique peak is observed.</x:v>
      </x:c>
      <x:c r="L2" s="91" t="str">
        <x:v>Formula-based summaries; not native PivotTable objects. Counts are based on the 20 supplied appointment rows. All listed times tie, so no unique peak is observed.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</x:row>
    <x:row r="4" ht="32" customHeight="1">
      <x:c r="A4" s="32" t="str">
        <x:v>Status</x:v>
      </x:c>
      <x:c r="B4" s="76" t="str">
        <x:v>Count</x:v>
      </x:c>
      <x:c r="C4" s="33" t="str">
        <x:v>Share</x:v>
      </x:c>
      <x:c r="D4" s="199"/>
      <x:c r="E4" s="32" t="str">
        <x:v>Listed Time</x:v>
      </x:c>
      <x:c r="F4" s="33" t="str">
        <x:v>Appointment Count</x:v>
      </x:c>
      <x:c r="G4" s="199"/>
      <x:c r="H4" s="32" t="str">
        <x:v>Day of Week</x:v>
      </x:c>
      <x:c r="I4" s="33" t="str">
        <x:v>Appointment Count</x:v>
      </x:c>
      <x:c r="J4" s="199"/>
      <x:c r="K4" s="32" t="str">
        <x:v>Department</x:v>
      </x:c>
      <x:c r="L4" s="33" t="str">
        <x:v>Appointment Count</x:v>
      </x:c>
    </x:row>
    <x:row r="5">
      <x:c r="A5" s="199" t="str">
        <x:v>Completed</x:v>
      </x:c>
      <x:c r="B5" s="199" t="n">
        <x:f>COUNTIF('Cleaned_Appointment'!$K$5:$K$24,A5)</x:f>
        <x:v>8</x:v>
      </x:c>
      <x:c r="C5" s="205" t="n">
        <x:f>B5/$B$10</x:f>
        <x:v>0.4</x:v>
      </x:c>
      <x:c r="D5" s="199"/>
      <x:c r="E5" s="199" t="str">
        <x:v>10:00 AM</x:v>
      </x:c>
      <x:c r="F5" s="199" t="n">
        <x:f>COUNTIF('Cleaned_Appointment'!$F$5:$F$24,0.4166666666666667)</x:f>
        <x:v>4</x:v>
      </x:c>
      <x:c r="G5" s="199"/>
      <x:c r="H5" s="199" t="str">
        <x:v>Monday</x:v>
      </x:c>
      <x:c r="I5" s="199" t="n">
        <x:f>COUNTIF('Cleaned_Appointment'!$H$5:$H$24,H5)</x:f>
        <x:v>3</x:v>
      </x:c>
      <x:c r="J5" s="199"/>
      <x:c r="K5" s="199" t="str">
        <x:v>Cardiology</x:v>
      </x:c>
      <x:c r="L5" s="199" t="n">
        <x:f>COUNTIF('Cleaned_Appointment'!$D$5:$D$24,K5)</x:f>
        <x:v>4</x:v>
      </x:c>
    </x:row>
    <x:row r="6">
      <x:c r="A6" s="199" t="str">
        <x:v>No Show</x:v>
      </x:c>
      <x:c r="B6" s="199" t="n">
        <x:f>COUNTIF('Cleaned_Appointment'!$K$5:$K$24,A6)</x:f>
        <x:v>4</x:v>
      </x:c>
      <x:c r="C6" s="205" t="n">
        <x:f>B6/$B$10</x:f>
        <x:v>0.2</x:v>
      </x:c>
      <x:c r="D6" s="199"/>
      <x:c r="E6" s="199" t="str">
        <x:v>11:00 AM</x:v>
      </x:c>
      <x:c r="F6" s="199" t="n">
        <x:f>COUNTIF('Cleaned_Appointment'!$F$5:$F$24,0.4583333333333333)</x:f>
        <x:v>4</x:v>
      </x:c>
      <x:c r="G6" s="199"/>
      <x:c r="H6" s="199" t="str">
        <x:v>Tuesday</x:v>
      </x:c>
      <x:c r="I6" s="199" t="n">
        <x:f>COUNTIF('Cleaned_Appointment'!$H$5:$H$24,H6)</x:f>
        <x:v>3</x:v>
      </x:c>
      <x:c r="J6" s="199"/>
      <x:c r="K6" s="199" t="str">
        <x:v>General</x:v>
      </x:c>
      <x:c r="L6" s="199" t="n">
        <x:f>COUNTIF('Cleaned_Appointment'!$D$5:$D$24,K6)</x:f>
        <x:v>4</x:v>
      </x:c>
    </x:row>
    <x:row r="7">
      <x:c r="A7" s="199" t="str">
        <x:v>Rescheduled</x:v>
      </x:c>
      <x:c r="B7" s="199" t="n">
        <x:f>COUNTIF('Cleaned_Appointment'!$K$5:$K$24,A7)</x:f>
        <x:v>4</x:v>
      </x:c>
      <x:c r="C7" s="205" t="n">
        <x:f>B7/$B$10</x:f>
        <x:v>0.2</x:v>
      </x:c>
      <x:c r="D7" s="199"/>
      <x:c r="E7" s="199" t="str">
        <x:v>02:00 PM</x:v>
      </x:c>
      <x:c r="F7" s="199" t="n">
        <x:f>COUNTIF('Cleaned_Appointment'!$F$5:$F$24,0.5833333333333334)</x:f>
        <x:v>4</x:v>
      </x:c>
      <x:c r="G7" s="199"/>
      <x:c r="H7" s="199" t="str">
        <x:v>Wednesday</x:v>
      </x:c>
      <x:c r="I7" s="199" t="n">
        <x:f>COUNTIF('Cleaned_Appointment'!$H$5:$H$24,H7)</x:f>
        <x:v>3</x:v>
      </x:c>
      <x:c r="J7" s="199"/>
      <x:c r="K7" s="199" t="str">
        <x:v>Neurology</x:v>
      </x:c>
      <x:c r="L7" s="199" t="n">
        <x:f>COUNTIF('Cleaned_Appointment'!$D$5:$D$24,K7)</x:f>
        <x:v>4</x:v>
      </x:c>
    </x:row>
    <x:row r="8">
      <x:c r="A8" s="199" t="str">
        <x:v>Cancelled</x:v>
      </x:c>
      <x:c r="B8" s="199" t="n">
        <x:f>COUNTIF('Cleaned_Appointment'!$K$5:$K$24,A8)</x:f>
        <x:v>4</x:v>
      </x:c>
      <x:c r="C8" s="205" t="n">
        <x:f>B8/$B$10</x:f>
        <x:v>0.2</x:v>
      </x:c>
      <x:c r="D8" s="199"/>
      <x:c r="E8" s="199" t="str">
        <x:v>03:00 PM</x:v>
      </x:c>
      <x:c r="F8" s="199" t="n">
        <x:f>COUNTIF('Cleaned_Appointment'!$F$5:$F$24,0.625)</x:f>
        <x:v>4</x:v>
      </x:c>
      <x:c r="G8" s="199"/>
      <x:c r="H8" s="199" t="str">
        <x:v>Thursday</x:v>
      </x:c>
      <x:c r="I8" s="199" t="n">
        <x:f>COUNTIF('Cleaned_Appointment'!$H$5:$H$24,H8)</x:f>
        <x:v>3</x:v>
      </x:c>
      <x:c r="J8" s="199"/>
      <x:c r="K8" s="199" t="str">
        <x:v>Orthopedics</x:v>
      </x:c>
      <x:c r="L8" s="199" t="n">
        <x:f>COUNTIF('Cleaned_Appointment'!$D$5:$D$24,K8)</x:f>
        <x:v>4</x:v>
      </x:c>
    </x:row>
    <x:row r="9">
      <x:c r="A9" s="199"/>
      <x:c r="B9" s="199"/>
      <x:c r="C9" s="205"/>
      <x:c r="D9" s="199"/>
      <x:c r="E9" s="199" t="str">
        <x:v>04:00 PM</x:v>
      </x:c>
      <x:c r="F9" s="199" t="n">
        <x:f>COUNTIF('Cleaned_Appointment'!$F$5:$F$24,0.6666666666666666)</x:f>
        <x:v>4</x:v>
      </x:c>
      <x:c r="G9" s="199"/>
      <x:c r="H9" s="199" t="str">
        <x:v>Friday</x:v>
      </x:c>
      <x:c r="I9" s="199" t="n">
        <x:f>COUNTIF('Cleaned_Appointment'!$H$5:$H$24,H9)</x:f>
        <x:v>3</x:v>
      </x:c>
      <x:c r="J9" s="199"/>
      <x:c r="K9" s="199" t="str">
        <x:v>Pediatrics</x:v>
      </x:c>
      <x:c r="L9" s="199" t="n">
        <x:f>COUNTIF('Cleaned_Appointment'!$D$5:$D$24,K9)</x:f>
        <x:v>4</x:v>
      </x:c>
    </x:row>
    <x:row r="10">
      <x:c r="A10" s="206" t="str">
        <x:v>Total</x:v>
      </x:c>
      <x:c r="B10" s="207" t="n">
        <x:f>SUM(B5:B8)</x:f>
        <x:v>20</x:v>
      </x:c>
      <x:c r="C10" s="208" t="n">
        <x:f>SUM(C5:C8)</x:f>
        <x:v>1</x:v>
      </x:c>
      <x:c r="D10" s="199"/>
      <x:c r="E10" s="199"/>
      <x:c r="F10" s="199"/>
      <x:c r="G10" s="199"/>
      <x:c r="H10" s="199" t="str">
        <x:v>Saturday</x:v>
      </x:c>
      <x:c r="I10" s="199" t="n">
        <x:f>COUNTIF('Cleaned_Appointment'!$H$5:$H$24,H10)</x:f>
        <x:v>3</x:v>
      </x:c>
      <x:c r="J10" s="199"/>
      <x:c r="K10" s="199"/>
      <x:c r="L10" s="199"/>
    </x:row>
    <x:row r="11">
      <x:c r="A11" s="199"/>
      <x:c r="B11" s="199"/>
      <x:c r="C11" s="199"/>
      <x:c r="D11" s="199"/>
      <x:c r="E11" s="199"/>
      <x:c r="F11" s="199"/>
      <x:c r="G11" s="199"/>
      <x:c r="H11" s="199" t="str">
        <x:v>Sunday</x:v>
      </x:c>
      <x:c r="I11" s="199" t="n">
        <x:f>COUNTIF('Cleaned_Appointment'!$H$5:$H$24,H11)</x:f>
        <x:v>2</x:v>
      </x:c>
      <x:c r="J11" s="199"/>
      <x:c r="K11" s="199"/>
      <x:c r="L11" s="199"/>
    </x:row>
    <x:row r="12">
      <x:c r="A12" s="199"/>
      <x:c r="B12" s="199"/>
      <x:c r="C12" s="199"/>
      <x:c r="D12" s="199"/>
      <x:c r="E12" s="199"/>
      <x:c r="F12" s="199"/>
      <x:c r="G12" s="199"/>
      <x:c r="H12" s="199"/>
      <x:c r="I12" s="199"/>
      <x:c r="J12" s="199"/>
      <x:c r="K12" s="199"/>
      <x:c r="L12" s="199"/>
    </x:row>
    <x:row r="13" ht="32" customHeight="1">
      <x:c r="A13" s="32" t="str">
        <x:v>Department / Time</x:v>
      </x:c>
      <x:c r="B13" s="76" t="str">
        <x:v>10:00 AM</x:v>
      </x:c>
      <x:c r="C13" s="76" t="str">
        <x:v>11:00 AM</x:v>
      </x:c>
      <x:c r="D13" s="76" t="str">
        <x:v>02:00 PM</x:v>
      </x:c>
      <x:c r="E13" s="76" t="str">
        <x:v>03:00 PM</x:v>
      </x:c>
      <x:c r="F13" s="33" t="str">
        <x:v>04:00 PM</x:v>
      </x:c>
      <x:c r="G13" s="199"/>
      <x:c r="H13" s="199"/>
      <x:c r="I13" s="199"/>
      <x:c r="J13" s="199"/>
      <x:c r="K13" s="199"/>
      <x:c r="L13" s="199"/>
    </x:row>
    <x:row r="14">
      <x:c r="A14" s="199" t="str">
        <x:v>Cardiology</x:v>
      </x:c>
      <x:c r="B14" s="199" t="n">
        <x:f>COUNTIFS('Cleaned_Appointment'!$D$5:$D$24,$A14,'Cleaned_Appointment'!$F$5:$F$24,0.4166666666666667)</x:f>
        <x:v>4</x:v>
      </x:c>
      <x:c r="C14" s="199" t="n">
        <x:f>COUNTIFS('Cleaned_Appointment'!$D$5:$D$24,$A14,'Cleaned_Appointment'!$F$5:$F$24,0.4583333333333333)</x:f>
        <x:v>0</x:v>
      </x:c>
      <x:c r="D14" s="199" t="n">
        <x:f>COUNTIFS('Cleaned_Appointment'!$D$5:$D$24,$A14,'Cleaned_Appointment'!$F$5:$F$24,0.5833333333333334)</x:f>
        <x:v>0</x:v>
      </x:c>
      <x:c r="E14" s="199" t="n">
        <x:f>COUNTIFS('Cleaned_Appointment'!$D$5:$D$24,$A14,'Cleaned_Appointment'!$F$5:$F$24,0.625)</x:f>
        <x:v>0</x:v>
      </x:c>
      <x:c r="F14" s="199" t="n">
        <x:f>COUNTIFS('Cleaned_Appointment'!$D$5:$D$24,$A14,'Cleaned_Appointment'!$F$5:$F$24,0.6666666666666666)</x:f>
        <x:v>0</x:v>
      </x:c>
      <x:c r="G14" s="199"/>
      <x:c r="H14" s="199"/>
      <x:c r="I14" s="199"/>
      <x:c r="J14" s="199"/>
      <x:c r="K14" s="199"/>
      <x:c r="L14" s="199"/>
    </x:row>
    <x:row r="15">
      <x:c r="A15" s="199" t="str">
        <x:v>General</x:v>
      </x:c>
      <x:c r="B15" s="199" t="n">
        <x:f>COUNTIFS('Cleaned_Appointment'!$D$5:$D$24,$A15,'Cleaned_Appointment'!$F$5:$F$24,0.4166666666666667)</x:f>
        <x:v>0</x:v>
      </x:c>
      <x:c r="C15" s="199" t="n">
        <x:f>COUNTIFS('Cleaned_Appointment'!$D$5:$D$24,$A15,'Cleaned_Appointment'!$F$5:$F$24,0.4583333333333333)</x:f>
        <x:v>0</x:v>
      </x:c>
      <x:c r="D15" s="199" t="n">
        <x:f>COUNTIFS('Cleaned_Appointment'!$D$5:$D$24,$A15,'Cleaned_Appointment'!$F$5:$F$24,0.5833333333333334)</x:f>
        <x:v>0</x:v>
      </x:c>
      <x:c r="E15" s="199" t="n">
        <x:f>COUNTIFS('Cleaned_Appointment'!$D$5:$D$24,$A15,'Cleaned_Appointment'!$F$5:$F$24,0.625)</x:f>
        <x:v>0</x:v>
      </x:c>
      <x:c r="F15" s="199" t="n">
        <x:f>COUNTIFS('Cleaned_Appointment'!$D$5:$D$24,$A15,'Cleaned_Appointment'!$F$5:$F$24,0.6666666666666666)</x:f>
        <x:v>4</x:v>
      </x:c>
      <x:c r="G15" s="199"/>
      <x:c r="H15" s="199"/>
      <x:c r="I15" s="199"/>
      <x:c r="J15" s="199"/>
      <x:c r="K15" s="199"/>
      <x:c r="L15" s="199"/>
    </x:row>
    <x:row r="16">
      <x:c r="A16" s="199" t="str">
        <x:v>Neurology</x:v>
      </x:c>
      <x:c r="B16" s="199" t="n">
        <x:f>COUNTIFS('Cleaned_Appointment'!$D$5:$D$24,$A16,'Cleaned_Appointment'!$F$5:$F$24,0.4166666666666667)</x:f>
        <x:v>0</x:v>
      </x:c>
      <x:c r="C16" s="199" t="n">
        <x:f>COUNTIFS('Cleaned_Appointment'!$D$5:$D$24,$A16,'Cleaned_Appointment'!$F$5:$F$24,0.4583333333333333)</x:f>
        <x:v>0</x:v>
      </x:c>
      <x:c r="D16" s="199" t="n">
        <x:f>COUNTIFS('Cleaned_Appointment'!$D$5:$D$24,$A16,'Cleaned_Appointment'!$F$5:$F$24,0.5833333333333334)</x:f>
        <x:v>4</x:v>
      </x:c>
      <x:c r="E16" s="199" t="n">
        <x:f>COUNTIFS('Cleaned_Appointment'!$D$5:$D$24,$A16,'Cleaned_Appointment'!$F$5:$F$24,0.625)</x:f>
        <x:v>0</x:v>
      </x:c>
      <x:c r="F16" s="199" t="n">
        <x:f>COUNTIFS('Cleaned_Appointment'!$D$5:$D$24,$A16,'Cleaned_Appointment'!$F$5:$F$24,0.6666666666666666)</x:f>
        <x:v>0</x:v>
      </x:c>
      <x:c r="G16" s="199"/>
      <x:c r="H16" s="199"/>
      <x:c r="I16" s="199"/>
      <x:c r="J16" s="199"/>
      <x:c r="K16" s="199"/>
      <x:c r="L16" s="199"/>
    </x:row>
    <x:row r="17">
      <x:c r="A17" s="199" t="str">
        <x:v>Orthopedics</x:v>
      </x:c>
      <x:c r="B17" s="199" t="n">
        <x:f>COUNTIFS('Cleaned_Appointment'!$D$5:$D$24,$A17,'Cleaned_Appointment'!$F$5:$F$24,0.4166666666666667)</x:f>
        <x:v>0</x:v>
      </x:c>
      <x:c r="C17" s="199" t="n">
        <x:f>COUNTIFS('Cleaned_Appointment'!$D$5:$D$24,$A17,'Cleaned_Appointment'!$F$5:$F$24,0.4583333333333333)</x:f>
        <x:v>4</x:v>
      </x:c>
      <x:c r="D17" s="199" t="n">
        <x:f>COUNTIFS('Cleaned_Appointment'!$D$5:$D$24,$A17,'Cleaned_Appointment'!$F$5:$F$24,0.5833333333333334)</x:f>
        <x:v>0</x:v>
      </x:c>
      <x:c r="E17" s="199" t="n">
        <x:f>COUNTIFS('Cleaned_Appointment'!$D$5:$D$24,$A17,'Cleaned_Appointment'!$F$5:$F$24,0.625)</x:f>
        <x:v>0</x:v>
      </x:c>
      <x:c r="F17" s="199" t="n">
        <x:f>COUNTIFS('Cleaned_Appointment'!$D$5:$D$24,$A17,'Cleaned_Appointment'!$F$5:$F$24,0.6666666666666666)</x:f>
        <x:v>0</x:v>
      </x:c>
      <x:c r="G17" s="199"/>
      <x:c r="H17" s="199"/>
      <x:c r="I17" s="199"/>
      <x:c r="J17" s="199"/>
      <x:c r="K17" s="199"/>
      <x:c r="L17" s="199"/>
    </x:row>
    <x:row r="18">
      <x:c r="A18" s="199" t="str">
        <x:v>Pediatrics</x:v>
      </x:c>
      <x:c r="B18" s="199" t="n">
        <x:f>COUNTIFS('Cleaned_Appointment'!$D$5:$D$24,$A18,'Cleaned_Appointment'!$F$5:$F$24,0.4166666666666667)</x:f>
        <x:v>0</x:v>
      </x:c>
      <x:c r="C18" s="199" t="n">
        <x:f>COUNTIFS('Cleaned_Appointment'!$D$5:$D$24,$A18,'Cleaned_Appointment'!$F$5:$F$24,0.4583333333333333)</x:f>
        <x:v>0</x:v>
      </x:c>
      <x:c r="D18" s="199" t="n">
        <x:f>COUNTIFS('Cleaned_Appointment'!$D$5:$D$24,$A18,'Cleaned_Appointment'!$F$5:$F$24,0.5833333333333334)</x:f>
        <x:v>0</x:v>
      </x:c>
      <x:c r="E18" s="199" t="n">
        <x:f>COUNTIFS('Cleaned_Appointment'!$D$5:$D$24,$A18,'Cleaned_Appointment'!$F$5:$F$24,0.625)</x:f>
        <x:v>4</x:v>
      </x:c>
      <x:c r="F18" s="199" t="n">
        <x:f>COUNTIFS('Cleaned_Appointment'!$D$5:$D$24,$A18,'Cleaned_Appointment'!$F$5:$F$24,0.6666666666666666)</x:f>
        <x:v>0</x:v>
      </x:c>
      <x:c r="G18" s="199"/>
      <x:c r="H18" s="199"/>
      <x:c r="I18" s="199"/>
      <x:c r="J18" s="199"/>
      <x:c r="K18" s="199"/>
      <x:c r="L18" s="19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95e916fb4fe445a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" hidden="0" customWidth="1"/>
    <x:col min="7" max="7" width="21" hidden="0" customWidth="1"/>
    <x:col min="8" max="8" width="21" hidden="0" customWidth="1"/>
    <x:col min="9" max="9" width="3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3" t="str">
        <x:v>Feedback Pivot-Style Summaries</x:v>
      </x:c>
      <x:c r="B1" s="3" t="str">
        <x:v>Feedback Pivot-Style Summaries</x:v>
      </x:c>
      <x:c r="C1" s="3" t="str">
        <x:v>Feedback Pivot-Style Summaries</x:v>
      </x:c>
      <x:c r="D1" s="3" t="str">
        <x:v>Feedback Pivot-Style Summaries</x:v>
      </x:c>
      <x:c r="E1" s="3" t="str">
        <x:v>Feedback Pivot-Style Summaries</x:v>
      </x:c>
      <x:c r="F1" s="3" t="str">
        <x:v>Feedback Pivot-Style Summaries</x:v>
      </x:c>
      <x:c r="G1" s="3" t="str">
        <x:v>Feedback Pivot-Style Summaries</x:v>
      </x:c>
      <x:c r="H1" s="3" t="str">
        <x:v>Feedback Pivot-Style Summaries</x:v>
      </x:c>
      <x:c r="I1" s="3" t="str">
        <x:v>Feedback Pivot-Style Summaries</x:v>
      </x:c>
      <x:c r="J1" s="3" t="str">
        <x:v>Feedback Pivot-Style Summaries</x:v>
      </x:c>
      <x:c r="K1" s="3" t="str">
        <x:v>Feedback Pivot-Style Summaries</x:v>
      </x:c>
      <x:c r="L1" s="3" t="str">
        <x:v>Feedback Pivot-Style Summaries</x:v>
      </x:c>
      <x:c r="M1" s="3" t="str">
        <x:v>Feedback Pivot-Style Summaries</x:v>
      </x:c>
      <x:c r="N1" s="3" t="str">
        <x:v>Feedback Pivot-Style Summaries</x:v>
      </x:c>
    </x:row>
    <x:row r="2" ht="34" customHeight="1">
      <x:c r="A2" s="89" t="str">
        <x:v>The lab rule labels score &gt;= 4 as High. Every supplied score is 5-9, so all 15 rows are High. Department averages are descriptive only (n=3 each; scale and benchmark not supplied).</x:v>
      </x:c>
      <x:c r="B2" s="90" t="str">
        <x:v>The lab rule labels score &gt;= 4 as High. Every supplied score is 5-9, so all 15 rows are High. Department averages are descriptive only (n=3 each; scale and benchmark not supplied).</x:v>
      </x:c>
      <x:c r="C2" s="90" t="str">
        <x:v>The lab rule labels score &gt;= 4 as High. Every supplied score is 5-9, so all 15 rows are High. Department averages are descriptive only (n=3 each; scale and benchmark not supplied).</x:v>
      </x:c>
      <x:c r="D2" s="90" t="str">
        <x:v>The lab rule labels score &gt;= 4 as High. Every supplied score is 5-9, so all 15 rows are High. Department averages are descriptive only (n=3 each; scale and benchmark not supplied).</x:v>
      </x:c>
      <x:c r="E2" s="90" t="str">
        <x:v>The lab rule labels score &gt;= 4 as High. Every supplied score is 5-9, so all 15 rows are High. Department averages are descriptive only (n=3 each; scale and benchmark not supplied).</x:v>
      </x:c>
      <x:c r="F2" s="90" t="str">
        <x:v>The lab rule labels score &gt;= 4 as High. Every supplied score is 5-9, so all 15 rows are High. Department averages are descriptive only (n=3 each; scale and benchmark not supplied).</x:v>
      </x:c>
      <x:c r="G2" s="90" t="str">
        <x:v>The lab rule labels score &gt;= 4 as High. Every supplied score is 5-9, so all 15 rows are High. Department averages are descriptive only (n=3 each; scale and benchmark not supplied).</x:v>
      </x:c>
      <x:c r="H2" s="90" t="str">
        <x:v>The lab rule labels score &gt;= 4 as High. Every supplied score is 5-9, so all 15 rows are High. Department averages are descriptive only (n=3 each; scale and benchmark not supplied).</x:v>
      </x:c>
      <x:c r="I2" s="90" t="str">
        <x:v>The lab rule labels score &gt;= 4 as High. Every supplied score is 5-9, so all 15 rows are High. Department averages are descriptive only (n=3 each; scale and benchmark not supplied).</x:v>
      </x:c>
      <x:c r="J2" s="90" t="str">
        <x:v>The lab rule labels score &gt;= 4 as High. Every supplied score is 5-9, so all 15 rows are High. Department averages are descriptive only (n=3 each; scale and benchmark not supplied).</x:v>
      </x:c>
      <x:c r="K2" s="90" t="str">
        <x:v>The lab rule labels score &gt;= 4 as High. Every supplied score is 5-9, so all 15 rows are High. Department averages are descriptive only (n=3 each; scale and benchmark not supplied).</x:v>
      </x:c>
      <x:c r="L2" s="90" t="str">
        <x:v>The lab rule labels score &gt;= 4 as High. Every supplied score is 5-9, so all 15 rows are High. Department averages are descriptive only (n=3 each; scale and benchmark not supplied).</x:v>
      </x:c>
      <x:c r="M2" s="90" t="str">
        <x:v>The lab rule labels score &gt;= 4 as High. Every supplied score is 5-9, so all 15 rows are High. Department averages are descriptive only (n=3 each; scale and benchmark not supplied).</x:v>
      </x:c>
      <x:c r="N2" s="91" t="str">
        <x:v>The lab rule labels score &gt;= 4 as High. Every supplied score is 5-9, so all 15 rows are High. Department averages are descriptive only (n=3 each; scale and benchmark not supplied).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  <x:c r="M3" s="199"/>
      <x:c r="N3" s="199"/>
    </x:row>
    <x:row r="4" ht="32" customHeight="1">
      <x:c r="A4" s="32" t="str">
        <x:v>Feedback Department</x:v>
      </x:c>
      <x:c r="B4" s="76" t="str">
        <x:v>Responses</x:v>
      </x:c>
      <x:c r="C4" s="76" t="str">
        <x:v>Average Score</x:v>
      </x:c>
      <x:c r="D4" s="76" t="str">
        <x:v>High</x:v>
      </x:c>
      <x:c r="E4" s="33" t="str">
        <x:v>Low</x:v>
      </x:c>
      <x:c r="F4" s="199"/>
      <x:c r="G4" s="199"/>
      <x:c r="H4" s="199"/>
      <x:c r="I4" s="199"/>
      <x:c r="J4" s="32" t="str">
        <x:v>Score</x:v>
      </x:c>
      <x:c r="K4" s="33" t="str">
        <x:v>Responses</x:v>
      </x:c>
      <x:c r="L4" s="199"/>
      <x:c r="M4" s="199"/>
      <x:c r="N4" s="199"/>
    </x:row>
    <x:row r="5">
      <x:c r="A5" s="199" t="str">
        <x:v>Cardiology</x:v>
      </x:c>
      <x:c r="B5" s="199" t="n">
        <x:f>COUNTIF('Cleaned_Feedback'!$G$5:$G$19,A5)</x:f>
        <x:v>3</x:v>
      </x:c>
      <x:c r="C5" s="209" t="n">
        <x:f>IFERROR(AVERAGEIF('Cleaned_Feedback'!$G$5:$G$19,A5,'Cleaned_Feedback'!$J$5:$J$19),"")</x:f>
        <x:v>8.333333333333334</x:v>
      </x:c>
      <x:c r="D5" s="199" t="n">
        <x:f>COUNTIFS('Cleaned_Feedback'!$G$5:$G$19,A5,'Cleaned_Feedback'!$N$5:$N$19,"High")</x:f>
        <x:v>3</x:v>
      </x:c>
      <x:c r="E5" s="199" t="n">
        <x:f>COUNTIFS('Cleaned_Feedback'!$G$5:$G$19,A5,'Cleaned_Feedback'!$N$5:$N$19,"Low")</x:f>
        <x:v>0</x:v>
      </x:c>
      <x:c r="F5" s="199"/>
      <x:c r="G5" s="199"/>
      <x:c r="H5" s="199"/>
      <x:c r="I5" s="199"/>
      <x:c r="J5" s="199" t="n">
        <x:v>5</x:v>
      </x:c>
      <x:c r="K5" s="199" t="n">
        <x:f>COUNTIF('Cleaned_Feedback'!$J$5:$J$19,J5)</x:f>
        <x:v>3</x:v>
      </x:c>
      <x:c r="L5" s="199"/>
      <x:c r="M5" s="199"/>
      <x:c r="N5" s="199"/>
    </x:row>
    <x:row r="6">
      <x:c r="A6" s="199" t="str">
        <x:v>General</x:v>
      </x:c>
      <x:c r="B6" s="199" t="n">
        <x:f>COUNTIF('Cleaned_Feedback'!$G$5:$G$19,A6)</x:f>
        <x:v>3</x:v>
      </x:c>
      <x:c r="C6" s="209" t="n">
        <x:f>IFERROR(AVERAGEIF('Cleaned_Feedback'!$G$5:$G$19,A6,'Cleaned_Feedback'!$J$5:$J$19),"")</x:f>
        <x:v>5.333333333333333</x:v>
      </x:c>
      <x:c r="D6" s="199" t="n">
        <x:f>COUNTIFS('Cleaned_Feedback'!$G$5:$G$19,A6,'Cleaned_Feedback'!$N$5:$N$19,"High")</x:f>
        <x:v>3</x:v>
      </x:c>
      <x:c r="E6" s="199" t="n">
        <x:f>COUNTIFS('Cleaned_Feedback'!$G$5:$G$19,A6,'Cleaned_Feedback'!$N$5:$N$19,"Low")</x:f>
        <x:v>0</x:v>
      </x:c>
      <x:c r="F6" s="199"/>
      <x:c r="G6" s="199"/>
      <x:c r="H6" s="199"/>
      <x:c r="I6" s="199"/>
      <x:c r="J6" s="199" t="n">
        <x:v>6</x:v>
      </x:c>
      <x:c r="K6" s="199" t="n">
        <x:f>COUNTIF('Cleaned_Feedback'!$J$5:$J$19,J6)</x:f>
        <x:v>3</x:v>
      </x:c>
      <x:c r="L6" s="199"/>
      <x:c r="M6" s="199"/>
      <x:c r="N6" s="199"/>
    </x:row>
    <x:row r="7">
      <x:c r="A7" s="199" t="str">
        <x:v>Neurology</x:v>
      </x:c>
      <x:c r="B7" s="199" t="n">
        <x:f>COUNTIF('Cleaned_Feedback'!$G$5:$G$19,A7)</x:f>
        <x:v>3</x:v>
      </x:c>
      <x:c r="C7" s="209" t="n">
        <x:f>IFERROR(AVERAGEIF('Cleaned_Feedback'!$G$5:$G$19,A7,'Cleaned_Feedback'!$J$5:$J$19),"")</x:f>
        <x:v>8.333333333333334</x:v>
      </x:c>
      <x:c r="D7" s="199" t="n">
        <x:f>COUNTIFS('Cleaned_Feedback'!$G$5:$G$19,A7,'Cleaned_Feedback'!$N$5:$N$19,"High")</x:f>
        <x:v>3</x:v>
      </x:c>
      <x:c r="E7" s="199" t="n">
        <x:f>COUNTIFS('Cleaned_Feedback'!$G$5:$G$19,A7,'Cleaned_Feedback'!$N$5:$N$19,"Low")</x:f>
        <x:v>0</x:v>
      </x:c>
      <x:c r="F7" s="199"/>
      <x:c r="G7" s="199"/>
      <x:c r="H7" s="199"/>
      <x:c r="I7" s="199"/>
      <x:c r="J7" s="199" t="n">
        <x:v>7</x:v>
      </x:c>
      <x:c r="K7" s="199" t="n">
        <x:f>COUNTIF('Cleaned_Feedback'!$J$5:$J$19,J7)</x:f>
        <x:v>3</x:v>
      </x:c>
      <x:c r="L7" s="199"/>
      <x:c r="M7" s="199"/>
      <x:c r="N7" s="199"/>
    </x:row>
    <x:row r="8">
      <x:c r="A8" s="199" t="str">
        <x:v>Orthopedics</x:v>
      </x:c>
      <x:c r="B8" s="199" t="n">
        <x:f>COUNTIF('Cleaned_Feedback'!$G$5:$G$19,A8)</x:f>
        <x:v>3</x:v>
      </x:c>
      <x:c r="C8" s="209" t="n">
        <x:f>IFERROR(AVERAGEIF('Cleaned_Feedback'!$G$5:$G$19,A8,'Cleaned_Feedback'!$J$5:$J$19),"")</x:f>
        <x:v>7</x:v>
      </x:c>
      <x:c r="D8" s="199" t="n">
        <x:f>COUNTIFS('Cleaned_Feedback'!$G$5:$G$19,A8,'Cleaned_Feedback'!$N$5:$N$19,"High")</x:f>
        <x:v>3</x:v>
      </x:c>
      <x:c r="E8" s="199" t="n">
        <x:f>COUNTIFS('Cleaned_Feedback'!$G$5:$G$19,A8,'Cleaned_Feedback'!$N$5:$N$19,"Low")</x:f>
        <x:v>0</x:v>
      </x:c>
      <x:c r="F8" s="199"/>
      <x:c r="G8" s="199"/>
      <x:c r="H8" s="199"/>
      <x:c r="I8" s="199"/>
      <x:c r="J8" s="199" t="n">
        <x:v>8</x:v>
      </x:c>
      <x:c r="K8" s="199" t="n">
        <x:f>COUNTIF('Cleaned_Feedback'!$J$5:$J$19,J8)</x:f>
        <x:v>3</x:v>
      </x:c>
      <x:c r="L8" s="199"/>
      <x:c r="M8" s="199"/>
      <x:c r="N8" s="199"/>
    </x:row>
    <x:row r="9">
      <x:c r="A9" s="199" t="str">
        <x:v>Pediatrics</x:v>
      </x:c>
      <x:c r="B9" s="199" t="n">
        <x:f>COUNTIF('Cleaned_Feedback'!$G$5:$G$19,A9)</x:f>
        <x:v>3</x:v>
      </x:c>
      <x:c r="C9" s="209" t="n">
        <x:f>IFERROR(AVERAGEIF('Cleaned_Feedback'!$G$5:$G$19,A9,'Cleaned_Feedback'!$J$5:$J$19),"")</x:f>
        <x:v>6</x:v>
      </x:c>
      <x:c r="D9" s="199" t="n">
        <x:f>COUNTIFS('Cleaned_Feedback'!$G$5:$G$19,A9,'Cleaned_Feedback'!$N$5:$N$19,"High")</x:f>
        <x:v>3</x:v>
      </x:c>
      <x:c r="E9" s="199" t="n">
        <x:f>COUNTIFS('Cleaned_Feedback'!$G$5:$G$19,A9,'Cleaned_Feedback'!$N$5:$N$19,"Low")</x:f>
        <x:v>0</x:v>
      </x:c>
      <x:c r="F9" s="199"/>
      <x:c r="G9" s="199"/>
      <x:c r="H9" s="199"/>
      <x:c r="I9" s="199"/>
      <x:c r="J9" s="199" t="n">
        <x:v>9</x:v>
      </x:c>
      <x:c r="K9" s="199" t="n">
        <x:f>COUNTIF('Cleaned_Feedback'!$J$5:$J$19,J9)</x:f>
        <x:v>3</x:v>
      </x:c>
      <x:c r="L9" s="199"/>
      <x:c r="M9" s="199"/>
      <x:c r="N9" s="199"/>
    </x:row>
    <x:row r="10">
      <x:c r="A10" s="199"/>
      <x:c r="B10" s="199"/>
      <x:c r="C10" s="199"/>
      <x:c r="D10" s="199"/>
      <x:c r="E10" s="199"/>
      <x:c r="F10" s="199"/>
      <x:c r="G10" s="199"/>
      <x:c r="H10" s="199"/>
      <x:c r="I10" s="199"/>
      <x:c r="J10" s="199"/>
      <x:c r="K10" s="199"/>
      <x:c r="L10" s="199"/>
      <x:c r="M10" s="199"/>
      <x:c r="N10" s="199"/>
    </x:row>
    <x:row r="11">
      <x:c r="A11" s="199"/>
      <x:c r="B11" s="199"/>
      <x:c r="C11" s="199"/>
      <x:c r="D11" s="199"/>
      <x:c r="E11" s="199"/>
      <x:c r="F11" s="199"/>
      <x:c r="G11" s="199"/>
      <x:c r="H11" s="199"/>
      <x:c r="I11" s="199"/>
      <x:c r="J11" s="199"/>
      <x:c r="K11" s="199"/>
      <x:c r="L11" s="199"/>
      <x:c r="M11" s="199"/>
      <x:c r="N11" s="199"/>
    </x:row>
    <x:row r="12" ht="32" customHeight="1">
      <x:c r="A12" s="32" t="str">
        <x:v>Overall metric</x:v>
      </x:c>
      <x:c r="B12" s="33" t="str">
        <x:v>Value</x:v>
      </x:c>
      <x:c r="C12" s="199"/>
      <x:c r="D12" s="199"/>
      <x:c r="E12" s="199"/>
      <x:c r="F12" s="199"/>
      <x:c r="G12" s="32" t="str">
        <x:v>Feedback Department</x:v>
      </x:c>
      <x:c r="H12" s="33" t="str">
        <x:v>Average Score</x:v>
      </x:c>
      <x:c r="I12" s="199"/>
      <x:c r="J12" s="199"/>
      <x:c r="K12" s="199"/>
      <x:c r="L12" s="199"/>
      <x:c r="M12" s="199"/>
      <x:c r="N12" s="199"/>
    </x:row>
    <x:row r="13">
      <x:c r="A13" s="199" t="str">
        <x:v>Response count</x:v>
      </x:c>
      <x:c r="B13" s="199" t="n">
        <x:f>COUNTA('Cleaned_Feedback'!$A$5:$A$19)</x:f>
        <x:v>15</x:v>
      </x:c>
      <x:c r="C13" s="199"/>
      <x:c r="D13" s="199"/>
      <x:c r="E13" s="199"/>
      <x:c r="F13" s="199"/>
      <x:c r="G13" s="199" t="str">
        <x:f>A5</x:f>
        <x:v>Cardiology</x:v>
      </x:c>
      <x:c r="H13" s="209" t="n">
        <x:f>C5</x:f>
        <x:v>8.333333333333334</x:v>
      </x:c>
      <x:c r="I13" s="199"/>
      <x:c r="J13" s="199"/>
      <x:c r="K13" s="199"/>
      <x:c r="L13" s="199"/>
      <x:c r="M13" s="199"/>
      <x:c r="N13" s="199"/>
    </x:row>
    <x:row r="14">
      <x:c r="A14" s="199" t="str">
        <x:v>Mean score</x:v>
      </x:c>
      <x:c r="B14" s="209" t="n">
        <x:f>AVERAGE('Cleaned_Feedback'!$J$5:$J$19)</x:f>
        <x:v>7</x:v>
      </x:c>
      <x:c r="C14" s="199"/>
      <x:c r="D14" s="199"/>
      <x:c r="E14" s="199"/>
      <x:c r="F14" s="199"/>
      <x:c r="G14" s="199" t="str">
        <x:f>A6</x:f>
        <x:v>General</x:v>
      </x:c>
      <x:c r="H14" s="209" t="n">
        <x:f>C6</x:f>
        <x:v>5.333333333333333</x:v>
      </x:c>
      <x:c r="I14" s="199"/>
      <x:c r="J14" s="199"/>
      <x:c r="K14" s="199"/>
      <x:c r="L14" s="199"/>
      <x:c r="M14" s="199"/>
      <x:c r="N14" s="199"/>
    </x:row>
    <x:row r="15">
      <x:c r="A15" s="199" t="str">
        <x:v>Median score</x:v>
      </x:c>
      <x:c r="B15" s="209" t="n">
        <x:f>MEDIAN('Cleaned_Feedback'!$J$5:$J$19)</x:f>
        <x:v>7</x:v>
      </x:c>
      <x:c r="C15" s="199"/>
      <x:c r="D15" s="199"/>
      <x:c r="E15" s="199"/>
      <x:c r="F15" s="199"/>
      <x:c r="G15" s="199" t="str">
        <x:f>A7</x:f>
        <x:v>Neurology</x:v>
      </x:c>
      <x:c r="H15" s="209" t="n">
        <x:f>C7</x:f>
        <x:v>8.333333333333334</x:v>
      </x:c>
      <x:c r="I15" s="199"/>
      <x:c r="J15" s="199"/>
      <x:c r="K15" s="199"/>
      <x:c r="L15" s="199"/>
      <x:c r="M15" s="199"/>
      <x:c r="N15" s="199"/>
    </x:row>
    <x:row r="16">
      <x:c r="A16" s="199" t="str">
        <x:v>Scores 5-6</x:v>
      </x:c>
      <x:c r="B16" s="199" t="n">
        <x:f>COUNTIF('Cleaned_Feedback'!$Q$5:$Q$19,"5-6")</x:f>
        <x:v>6</x:v>
      </x:c>
      <x:c r="C16" s="199"/>
      <x:c r="D16" s="199"/>
      <x:c r="E16" s="199"/>
      <x:c r="F16" s="199"/>
      <x:c r="G16" s="199" t="str">
        <x:f>A8</x:f>
        <x:v>Orthopedics</x:v>
      </x:c>
      <x:c r="H16" s="209" t="n">
        <x:f>C8</x:f>
        <x:v>7</x:v>
      </x:c>
      <x:c r="I16" s="199"/>
      <x:c r="J16" s="199"/>
      <x:c r="K16" s="199"/>
      <x:c r="L16" s="199"/>
      <x:c r="M16" s="199"/>
      <x:c r="N16" s="199"/>
    </x:row>
    <x:row r="17">
      <x:c r="A17" s="199" t="str">
        <x:v>Unique PatientID matches (lab rule)</x:v>
      </x:c>
      <x:c r="B17" s="199" t="n">
        <x:f>COUNTIF('Cleaned_Feedback'!$O$5:$O$19,"Unique PatientID match (lab rule)")</x:f>
        <x:v>15</x:v>
      </x:c>
      <x:c r="C17" s="199"/>
      <x:c r="D17" s="199"/>
      <x:c r="E17" s="199"/>
      <x:c r="F17" s="199"/>
      <x:c r="G17" s="199" t="str">
        <x:f>A9</x:f>
        <x:v>Pediatrics</x:v>
      </x:c>
      <x:c r="H17" s="209" t="n">
        <x:f>C9</x:f>
        <x:v>6</x:v>
      </x:c>
      <x:c r="I17" s="199"/>
      <x:c r="J17" s="199"/>
      <x:c r="K17" s="199"/>
      <x:c r="L17" s="199"/>
      <x:c r="M17" s="199"/>
      <x:c r="N17" s="199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faf3832ba88497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23" hidden="0" customWidth="1"/>
    <x:col min="7" max="7" width="23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3" t="str">
        <x:v>Resource Pivot-Style Summaries</x:v>
      </x:c>
      <x:c r="B1" s="3" t="str">
        <x:v>Resource Pivot-Style Summaries</x:v>
      </x:c>
      <x:c r="C1" s="3" t="str">
        <x:v>Resource Pivot-Style Summaries</x:v>
      </x:c>
      <x:c r="D1" s="3" t="str">
        <x:v>Resource Pivot-Style Summaries</x:v>
      </x:c>
      <x:c r="E1" s="3" t="str">
        <x:v>Resource Pivot-Style Summaries</x:v>
      </x:c>
      <x:c r="F1" s="3" t="str">
        <x:v>Resource Pivot-Style Summaries</x:v>
      </x:c>
      <x:c r="G1" s="3" t="str">
        <x:v>Resource Pivot-Style Summaries</x:v>
      </x:c>
      <x:c r="H1" s="3" t="str">
        <x:v>Resource Pivot-Style Summaries</x:v>
      </x:c>
      <x:c r="I1" s="3" t="str">
        <x:v>Resource Pivot-Style Summaries</x:v>
      </x:c>
      <x:c r="J1" s="3" t="str">
        <x:v>Resource Pivot-Style Summaries</x:v>
      </x:c>
      <x:c r="K1" s="3" t="str">
        <x:v>Resource Pivot-Style Summaries</x:v>
      </x:c>
      <x:c r="L1" s="3" t="str">
        <x:v>Resource Pivot-Style Summaries</x:v>
      </x:c>
    </x:row>
    <x:row r="2" ht="34" customHeight="1">
      <x:c r="A2" s="89" t="str">
        <x:v>Usage Hours are recorded values, not utilization. The source has no Department column, capacity hours, demand, or comparable time interval; department utilization cannot be calculated.</x:v>
      </x:c>
      <x:c r="B2" s="90" t="str">
        <x:v>Usage Hours are recorded values, not utilization. The source has no Department column, capacity hours, demand, or comparable time interval; department utilization cannot be calculated.</x:v>
      </x:c>
      <x:c r="C2" s="90" t="str">
        <x:v>Usage Hours are recorded values, not utilization. The source has no Department column, capacity hours, demand, or comparable time interval; department utilization cannot be calculated.</x:v>
      </x:c>
      <x:c r="D2" s="90" t="str">
        <x:v>Usage Hours are recorded values, not utilization. The source has no Department column, capacity hours, demand, or comparable time interval; department utilization cannot be calculated.</x:v>
      </x:c>
      <x:c r="E2" s="90" t="str">
        <x:v>Usage Hours are recorded values, not utilization. The source has no Department column, capacity hours, demand, or comparable time interval; department utilization cannot be calculated.</x:v>
      </x:c>
      <x:c r="F2" s="90" t="str">
        <x:v>Usage Hours are recorded values, not utilization. The source has no Department column, capacity hours, demand, or comparable time interval; department utilization cannot be calculated.</x:v>
      </x:c>
      <x:c r="G2" s="90" t="str">
        <x:v>Usage Hours are recorded values, not utilization. The source has no Department column, capacity hours, demand, or comparable time interval; department utilization cannot be calculated.</x:v>
      </x:c>
      <x:c r="H2" s="90" t="str">
        <x:v>Usage Hours are recorded values, not utilization. The source has no Department column, capacity hours, demand, or comparable time interval; department utilization cannot be calculated.</x:v>
      </x:c>
      <x:c r="I2" s="90" t="str">
        <x:v>Usage Hours are recorded values, not utilization. The source has no Department column, capacity hours, demand, or comparable time interval; department utilization cannot be calculated.</x:v>
      </x:c>
      <x:c r="J2" s="90" t="str">
        <x:v>Usage Hours are recorded values, not utilization. The source has no Department column, capacity hours, demand, or comparable time interval; department utilization cannot be calculated.</x:v>
      </x:c>
      <x:c r="K2" s="90" t="str">
        <x:v>Usage Hours are recorded values, not utilization. The source has no Department column, capacity hours, demand, or comparable time interval; department utilization cannot be calculated.</x:v>
      </x:c>
      <x:c r="L2" s="91" t="str">
        <x:v>Usage Hours are recorded values, not utilization. The source has no Department column, capacity hours, demand, or comparable time interval; department utilization cannot be calculated.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</x:row>
    <x:row r="4" ht="32" customHeight="1">
      <x:c r="A4" s="32" t="str">
        <x:v>Resource Type</x:v>
      </x:c>
      <x:c r="B4" s="76" t="str">
        <x:v>Records</x:v>
      </x:c>
      <x:c r="C4" s="76" t="str">
        <x:v>Average Recorded Hours</x:v>
      </x:c>
      <x:c r="D4" s="33" t="str">
        <x:v>Total Recorded Hours</x:v>
      </x:c>
      <x:c r="E4" s="199"/>
      <x:c r="F4" s="32" t="str">
        <x:v>Availability</x:v>
      </x:c>
      <x:c r="G4" s="33" t="str">
        <x:v>Records</x:v>
      </x:c>
      <x:c r="H4" s="199"/>
      <x:c r="I4" s="199"/>
      <x:c r="J4" s="199"/>
      <x:c r="K4" s="199"/>
      <x:c r="L4" s="199"/>
    </x:row>
    <x:row r="5">
      <x:c r="A5" s="199" t="str">
        <x:v>Doctor</x:v>
      </x:c>
      <x:c r="B5" s="199" t="n">
        <x:f>COUNTIF('Cleaned_Resource'!$B$5:$B$14,A5)</x:f>
        <x:v>2</x:v>
      </x:c>
      <x:c r="C5" s="204" t="n">
        <x:f>IFERROR(AVERAGEIF('Cleaned_Resource'!$B$5:$B$14,A5,'Cleaned_Resource'!$D$5:$D$14),"")</x:f>
        <x:v>8</x:v>
      </x:c>
      <x:c r="D5" s="204" t="n">
        <x:f>SUMIF('Cleaned_Resource'!$B$5:$B$14,A5,'Cleaned_Resource'!$D$5:$D$14)</x:f>
        <x:v>16</x:v>
      </x:c>
      <x:c r="E5" s="199"/>
      <x:c r="F5" s="199" t="str">
        <x:v>Available</x:v>
      </x:c>
      <x:c r="G5" s="199" t="n">
        <x:f>COUNTIF('Cleaned_Resource'!$C$5:$C$14,F5)</x:f>
        <x:v>4</x:v>
      </x:c>
      <x:c r="H5" s="199"/>
      <x:c r="I5" s="199"/>
      <x:c r="J5" s="199"/>
      <x:c r="K5" s="199"/>
      <x:c r="L5" s="199"/>
    </x:row>
    <x:row r="6">
      <x:c r="A6" s="199" t="str">
        <x:v>Equipment</x:v>
      </x:c>
      <x:c r="B6" s="199" t="n">
        <x:f>COUNTIF('Cleaned_Resource'!$B$5:$B$14,A6)</x:f>
        <x:v>2</x:v>
      </x:c>
      <x:c r="C6" s="204" t="n">
        <x:f>IFERROR(AVERAGEIF('Cleaned_Resource'!$B$5:$B$14,A6,'Cleaned_Resource'!$D$5:$D$14),"")</x:f>
        <x:v>6</x:v>
      </x:c>
      <x:c r="D6" s="204" t="n">
        <x:f>SUMIF('Cleaned_Resource'!$B$5:$B$14,A6,'Cleaned_Resource'!$D$5:$D$14)</x:f>
        <x:v>12</x:v>
      </x:c>
      <x:c r="E6" s="199"/>
      <x:c r="F6" s="199" t="str">
        <x:v>Unavailable</x:v>
      </x:c>
      <x:c r="G6" s="199" t="n">
        <x:f>COUNTIF('Cleaned_Resource'!$C$5:$C$14,F6)</x:f>
        <x:v>2</x:v>
      </x:c>
      <x:c r="H6" s="199"/>
      <x:c r="I6" s="199"/>
      <x:c r="J6" s="199"/>
      <x:c r="K6" s="199"/>
      <x:c r="L6" s="199"/>
    </x:row>
    <x:row r="7">
      <x:c r="A7" s="199" t="str">
        <x:v>Nurse</x:v>
      </x:c>
      <x:c r="B7" s="199" t="n">
        <x:f>COUNTIF('Cleaned_Resource'!$B$5:$B$14,A7)</x:f>
        <x:v>2</x:v>
      </x:c>
      <x:c r="C7" s="204" t="n">
        <x:f>IFERROR(AVERAGEIF('Cleaned_Resource'!$B$5:$B$14,A7,'Cleaned_Resource'!$D$5:$D$14),"")</x:f>
        <x:v>0</x:v>
      </x:c>
      <x:c r="D7" s="204" t="n">
        <x:f>SUMIF('Cleaned_Resource'!$B$5:$B$14,A7,'Cleaned_Resource'!$D$5:$D$14)</x:f>
        <x:v>0</x:v>
      </x:c>
      <x:c r="E7" s="199"/>
      <x:c r="F7" s="199" t="str">
        <x:v>In Use</x:v>
      </x:c>
      <x:c r="G7" s="199" t="n">
        <x:f>COUNTIF('Cleaned_Resource'!$C$5:$C$14,F7)</x:f>
        <x:v>2</x:v>
      </x:c>
      <x:c r="H7" s="199"/>
      <x:c r="I7" s="199"/>
      <x:c r="J7" s="199"/>
      <x:c r="K7" s="199"/>
      <x:c r="L7" s="199"/>
    </x:row>
    <x:row r="8">
      <x:c r="A8" s="199" t="str">
        <x:v>Room</x:v>
      </x:c>
      <x:c r="B8" s="199" t="n">
        <x:f>COUNTIF('Cleaned_Resource'!$B$5:$B$14,A8)</x:f>
        <x:v>2</x:v>
      </x:c>
      <x:c r="C8" s="204" t="n">
        <x:f>IFERROR(AVERAGEIF('Cleaned_Resource'!$B$5:$B$14,A8,'Cleaned_Resource'!$D$5:$D$14),"")</x:f>
        <x:v>2</x:v>
      </x:c>
      <x:c r="D8" s="204" t="n">
        <x:f>SUMIF('Cleaned_Resource'!$B$5:$B$14,A8,'Cleaned_Resource'!$D$5:$D$14)</x:f>
        <x:v>4</x:v>
      </x:c>
      <x:c r="E8" s="199"/>
      <x:c r="F8" s="199" t="str">
        <x:v>Under Maintenance</x:v>
      </x:c>
      <x:c r="G8" s="199" t="n">
        <x:f>COUNTIF('Cleaned_Resource'!$C$5:$C$14,F8)</x:f>
        <x:v>2</x:v>
      </x:c>
      <x:c r="H8" s="199"/>
      <x:c r="I8" s="199"/>
      <x:c r="J8" s="199"/>
      <x:c r="K8" s="199"/>
      <x:c r="L8" s="199"/>
    </x:row>
    <x:row r="9">
      <x:c r="A9" s="199" t="str">
        <x:v>Technician</x:v>
      </x:c>
      <x:c r="B9" s="199" t="n">
        <x:f>COUNTIF('Cleaned_Resource'!$B$5:$B$14,A9)</x:f>
        <x:v>2</x:v>
      </x:c>
      <x:c r="C9" s="204" t="n">
        <x:f>IFERROR(AVERAGEIF('Cleaned_Resource'!$B$5:$B$14,A9,'Cleaned_Resource'!$D$5:$D$14),"")</x:f>
        <x:v>10</x:v>
      </x:c>
      <x:c r="D9" s="204" t="n">
        <x:f>SUMIF('Cleaned_Resource'!$B$5:$B$14,A9,'Cleaned_Resource'!$D$5:$D$14)</x:f>
        <x:v>20</x:v>
      </x:c>
      <x:c r="E9" s="199"/>
      <x:c r="F9" s="199"/>
      <x:c r="G9" s="199"/>
      <x:c r="H9" s="199"/>
      <x:c r="I9" s="199"/>
      <x:c r="J9" s="199"/>
      <x:c r="K9" s="199"/>
      <x:c r="L9" s="199"/>
    </x:row>
    <x:row r="10">
      <x:c r="A10" s="199"/>
      <x:c r="B10" s="199"/>
      <x:c r="C10" s="199"/>
      <x:c r="D10" s="199"/>
      <x:c r="E10" s="199"/>
      <x:c r="F10" s="199"/>
      <x:c r="G10" s="199"/>
      <x:c r="H10" s="199"/>
      <x:c r="I10" s="199"/>
      <x:c r="J10" s="199"/>
      <x:c r="K10" s="199"/>
      <x:c r="L10" s="199"/>
    </x:row>
    <x:row r="11">
      <x:c r="A11" s="199"/>
      <x:c r="B11" s="199"/>
      <x:c r="C11" s="199"/>
      <x:c r="D11" s="199"/>
      <x:c r="E11" s="199"/>
      <x:c r="F11" s="199"/>
      <x:c r="G11" s="199"/>
      <x:c r="H11" s="199"/>
      <x:c r="I11" s="199"/>
      <x:c r="J11" s="199"/>
      <x:c r="K11" s="199"/>
      <x:c r="L11" s="199"/>
    </x:row>
    <x:row r="12" ht="32" customHeight="1">
      <x:c r="A12" s="199"/>
      <x:c r="B12" s="199"/>
      <x:c r="C12" s="199"/>
      <x:c r="D12" s="199"/>
      <x:c r="E12" s="199"/>
      <x:c r="F12" s="32" t="str">
        <x:v>Resource Type</x:v>
      </x:c>
      <x:c r="G12" s="33" t="str">
        <x:v>Average Recorded Hours</x:v>
      </x:c>
      <x:c r="H12" s="199"/>
      <x:c r="I12" s="199"/>
      <x:c r="J12" s="199"/>
      <x:c r="K12" s="199"/>
      <x:c r="L12" s="199"/>
    </x:row>
    <x:row r="13">
      <x:c r="A13" s="199"/>
      <x:c r="B13" s="199"/>
      <x:c r="C13" s="199"/>
      <x:c r="D13" s="199"/>
      <x:c r="E13" s="199"/>
      <x:c r="F13" s="199" t="str">
        <x:f>A5</x:f>
        <x:v>Doctor</x:v>
      </x:c>
      <x:c r="G13" s="204" t="n">
        <x:f>C5</x:f>
        <x:v>8</x:v>
      </x:c>
      <x:c r="H13" s="199"/>
      <x:c r="I13" s="199"/>
      <x:c r="J13" s="199"/>
      <x:c r="K13" s="199"/>
      <x:c r="L13" s="199"/>
    </x:row>
    <x:row r="14">
      <x:c r="A14" s="199"/>
      <x:c r="B14" s="199"/>
      <x:c r="C14" s="199"/>
      <x:c r="D14" s="199"/>
      <x:c r="E14" s="199"/>
      <x:c r="F14" s="199" t="str">
        <x:f>A6</x:f>
        <x:v>Equipment</x:v>
      </x:c>
      <x:c r="G14" s="204" t="n">
        <x:f>C6</x:f>
        <x:v>6</x:v>
      </x:c>
      <x:c r="H14" s="199"/>
      <x:c r="I14" s="199"/>
      <x:c r="J14" s="199"/>
      <x:c r="K14" s="199"/>
      <x:c r="L14" s="199"/>
    </x:row>
    <x:row r="15">
      <x:c r="A15" s="199"/>
      <x:c r="B15" s="199"/>
      <x:c r="C15" s="199"/>
      <x:c r="D15" s="199"/>
      <x:c r="E15" s="199"/>
      <x:c r="F15" s="199" t="str">
        <x:f>A7</x:f>
        <x:v>Nurse</x:v>
      </x:c>
      <x:c r="G15" s="204" t="n">
        <x:f>C7</x:f>
        <x:v>0</x:v>
      </x:c>
      <x:c r="H15" s="199"/>
      <x:c r="I15" s="199"/>
      <x:c r="J15" s="199"/>
      <x:c r="K15" s="199"/>
      <x:c r="L15" s="199"/>
    </x:row>
    <x:row r="16">
      <x:c r="A16" s="199"/>
      <x:c r="B16" s="199"/>
      <x:c r="C16" s="199"/>
      <x:c r="D16" s="199"/>
      <x:c r="E16" s="199"/>
      <x:c r="F16" s="199" t="str">
        <x:f>A8</x:f>
        <x:v>Room</x:v>
      </x:c>
      <x:c r="G16" s="204" t="n">
        <x:f>C8</x:f>
        <x:v>2</x:v>
      </x:c>
      <x:c r="H16" s="199"/>
      <x:c r="I16" s="199"/>
      <x:c r="J16" s="199"/>
      <x:c r="K16" s="199"/>
      <x:c r="L16" s="199"/>
    </x:row>
    <x:row r="17">
      <x:c r="A17" s="199"/>
      <x:c r="B17" s="199"/>
      <x:c r="C17" s="199"/>
      <x:c r="D17" s="199"/>
      <x:c r="E17" s="199"/>
      <x:c r="F17" s="199" t="str">
        <x:f>A9</x:f>
        <x:v>Technician</x:v>
      </x:c>
      <x:c r="G17" s="204" t="n">
        <x:f>C9</x:f>
        <x:v>10</x:v>
      </x:c>
      <x:c r="H17" s="199"/>
      <x:c r="I17" s="199"/>
      <x:c r="J17" s="199"/>
      <x:c r="K17" s="199"/>
      <x:c r="L17" s="19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28e1a11047d44e9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4" hidden="0" customWidth="1"/>
    <x:col min="9" max="9" width="20" hidden="0" customWidth="1"/>
    <x:col min="10" max="10" width="20" hidden="0" customWidth="1"/>
    <x:col min="11" max="11" width="20" hidden="0" customWidth="1"/>
    <x:col min="12" max="12" width="12" hidden="0" customWidth="1"/>
  </x:cols>
  <x:sheetData>
    <x:row r="1" ht="28" customHeight="1">
      <x:c r="A1" s="3" t="str">
        <x:v>HealthFirst Care Descriptive Data Dashboard</x:v>
      </x:c>
      <x:c r="B1" s="3" t="str">
        <x:v>HealthFirst Care Descriptive Data Dashboard</x:v>
      </x:c>
      <x:c r="C1" s="3" t="str">
        <x:v>HealthFirst Care Descriptive Data Dashboard</x:v>
      </x:c>
      <x:c r="D1" s="3" t="str">
        <x:v>HealthFirst Care Descriptive Data Dashboard</x:v>
      </x:c>
      <x:c r="E1" s="3" t="str">
        <x:v>HealthFirst Care Descriptive Data Dashboard</x:v>
      </x:c>
      <x:c r="F1" s="3" t="str">
        <x:v>HealthFirst Care Descriptive Data Dashboard</x:v>
      </x:c>
      <x:c r="G1" s="3" t="str">
        <x:v>HealthFirst Care Descriptive Data Dashboard</x:v>
      </x:c>
      <x:c r="H1" s="3" t="str">
        <x:v>HealthFirst Care Descriptive Data Dashboard</x:v>
      </x:c>
      <x:c r="I1" s="3" t="str">
        <x:v>HealthFirst Care Descriptive Data Dashboard</x:v>
      </x:c>
      <x:c r="J1" s="3" t="str">
        <x:v>HealthFirst Care Descriptive Data Dashboard</x:v>
      </x:c>
      <x:c r="K1" s="3" t="str">
        <x:v>HealthFirst Care Descriptive Data Dashboard</x:v>
      </x:c>
      <x:c r="L1" s="3" t="str">
        <x:v>HealthFirst Care Descriptive Data Dashboard</x:v>
      </x:c>
    </x:row>
    <x:row r="2" ht="34" customHeight="1">
      <x:c r="A2" s="89" t="str">
        <x:v>Supplied sample only. The Department selector updates appointment and feedback figures. Resource data is not department-linked. Wait time and utilization are unavailable.</x:v>
      </x:c>
      <x:c r="B2" s="90" t="str">
        <x:v>Supplied sample only. The Department selector updates appointment and feedback figures. Resource data is not department-linked. Wait time and utilization are unavailable.</x:v>
      </x:c>
      <x:c r="C2" s="90" t="str">
        <x:v>Supplied sample only. The Department selector updates appointment and feedback figures. Resource data is not department-linked. Wait time and utilization are unavailable.</x:v>
      </x:c>
      <x:c r="D2" s="90" t="str">
        <x:v>Supplied sample only. The Department selector updates appointment and feedback figures. Resource data is not department-linked. Wait time and utilization are unavailable.</x:v>
      </x:c>
      <x:c r="E2" s="90" t="str">
        <x:v>Supplied sample only. The Department selector updates appointment and feedback figures. Resource data is not department-linked. Wait time and utilization are unavailable.</x:v>
      </x:c>
      <x:c r="F2" s="90" t="str">
        <x:v>Supplied sample only. The Department selector updates appointment and feedback figures. Resource data is not department-linked. Wait time and utilization are unavailable.</x:v>
      </x:c>
      <x:c r="G2" s="90" t="str">
        <x:v>Supplied sample only. The Department selector updates appointment and feedback figures. Resource data is not department-linked. Wait time and utilization are unavailable.</x:v>
      </x:c>
      <x:c r="H2" s="90" t="str">
        <x:v>Supplied sample only. The Department selector updates appointment and feedback figures. Resource data is not department-linked. Wait time and utilization are unavailable.</x:v>
      </x:c>
      <x:c r="I2" s="90" t="str">
        <x:v>Supplied sample only. The Department selector updates appointment and feedback figures. Resource data is not department-linked. Wait time and utilization are unavailable.</x:v>
      </x:c>
      <x:c r="J2" s="90" t="str">
        <x:v>Supplied sample only. The Department selector updates appointment and feedback figures. Resource data is not department-linked. Wait time and utilization are unavailable.</x:v>
      </x:c>
      <x:c r="K2" s="90" t="str">
        <x:v>Supplied sample only. The Department selector updates appointment and feedback figures. Resource data is not department-linked. Wait time and utilization are unavailable.</x:v>
      </x:c>
      <x:c r="L2" s="91" t="str">
        <x:v>Supplied sample only. The Department selector updates appointment and feedback figures. Resource data is not department-linked. Wait time and utilization are unavailable.</x:v>
      </x:c>
    </x:row>
    <x:row r="3">
      <x:c r="A3" s="199"/>
      <x:c r="B3" s="199"/>
      <x:c r="C3" s="199"/>
      <x:c r="D3" s="199"/>
      <x:c r="E3" s="199"/>
      <x:c r="F3" s="199"/>
      <x:c r="G3" s="199"/>
      <x:c r="H3" s="199"/>
      <x:c r="I3" s="199"/>
      <x:c r="J3" s="199"/>
      <x:c r="K3" s="199"/>
      <x:c r="L3" s="199"/>
    </x:row>
    <x:row r="4">
      <x:c r="A4" s="210" t="str">
        <x:v>Department selector</x:v>
      </x:c>
      <x:c r="B4" s="211" t="str">
        <x:v>All</x:v>
      </x:c>
      <x:c r="C4" s="199"/>
      <x:c r="D4" s="212" t="str">
        <x:v>Interactive substitute for a native slicer; clean-table header filters are also available.</x:v>
      </x:c>
      <x:c r="E4" s="212" t="str">
        <x:v>Interactive substitute for a native slicer; clean-table header filters are also available.</x:v>
      </x:c>
      <x:c r="F4" s="212" t="str">
        <x:v>Interactive substitute for a native slicer; clean-table header filters are also available.</x:v>
      </x:c>
      <x:c r="G4" s="212" t="str">
        <x:v>Interactive substitute for a native slicer; clean-table header filters are also available.</x:v>
      </x:c>
      <x:c r="H4" s="212" t="str">
        <x:v>Interactive substitute for a native slicer; clean-table header filters are also available.</x:v>
      </x:c>
      <x:c r="I4" s="212" t="str">
        <x:v>Interactive substitute for a native slicer; clean-table header filters are also available.</x:v>
      </x:c>
      <x:c r="J4" s="212" t="str">
        <x:v>Interactive substitute for a native slicer; clean-table header filters are also available.</x:v>
      </x:c>
      <x:c r="K4" s="212" t="str">
        <x:v>Interactive substitute for a native slicer; clean-table header filters are also available.</x:v>
      </x:c>
      <x:c r="L4" s="212" t="str">
        <x:v>Interactive substitute for a native slicer; clean-table header filters are also available.</x:v>
      </x:c>
    </x:row>
    <x:row r="5">
      <x:c r="A5" s="199"/>
      <x:c r="B5" s="199"/>
      <x:c r="C5" s="199"/>
      <x:c r="D5" s="199"/>
      <x:c r="E5" s="199"/>
      <x:c r="F5" s="199"/>
      <x:c r="G5" s="199"/>
      <x:c r="H5" s="199"/>
      <x:c r="I5" s="199"/>
      <x:c r="J5" s="199"/>
      <x:c r="K5" s="199"/>
      <x:c r="L5" s="199"/>
    </x:row>
    <x:row r="6">
      <x:c r="A6" s="213" t="str">
        <x:v>Appointments</x:v>
      </x:c>
      <x:c r="B6" s="213" t="str">
        <x:v>Appointments</x:v>
      </x:c>
      <x:c r="C6" s="213" t="str">
        <x:v>Appointments</x:v>
      </x:c>
      <x:c r="D6" s="199"/>
      <x:c r="E6" s="213" t="str">
        <x:v>Completed</x:v>
      </x:c>
      <x:c r="F6" s="213" t="str">
        <x:v>Completed</x:v>
      </x:c>
      <x:c r="G6" s="213" t="str">
        <x:v>Completed</x:v>
      </x:c>
      <x:c r="H6" s="199"/>
      <x:c r="I6" s="213" t="str">
        <x:v>Feedback Responses</x:v>
      </x:c>
      <x:c r="J6" s="213" t="str">
        <x:v>Feedback Responses</x:v>
      </x:c>
      <x:c r="K6" s="213" t="str">
        <x:v>Feedback Responses</x:v>
      </x:c>
      <x:c r="L6" s="199"/>
    </x:row>
    <x:row r="7">
      <x:c r="A7" s="129" t="n">
        <x:f>IF($B$4="All",COUNTA('Cleaned_Appointment'!$A$5:$A$24),COUNTIF('Cleaned_Appointment'!$D$5:$D$24,$B$4))</x:f>
        <x:v>20</x:v>
      </x:c>
      <x:c r="B7" s="130"/>
      <x:c r="C7" s="131"/>
      <x:c r="D7" s="199"/>
      <x:c r="E7" s="129" t="n">
        <x:f>IF($B$4="All",COUNTIF('Cleaned_Appointment'!$K$5:$K$24,"Completed"),COUNTIFS('Cleaned_Appointment'!$D$5:$D$24,$B$4,'Cleaned_Appointment'!$K$5:$K$24,"Completed"))</x:f>
        <x:v>8</x:v>
      </x:c>
      <x:c r="F7" s="130"/>
      <x:c r="G7" s="131"/>
      <x:c r="H7" s="199"/>
      <x:c r="I7" s="129" t="n">
        <x:f>IF($B$4="All",COUNTA('Cleaned_Feedback'!$A$5:$A$19),COUNTIF('Cleaned_Feedback'!$G$5:$G$19,$B$4))</x:f>
        <x:v>15</x:v>
      </x:c>
      <x:c r="J7" s="130"/>
      <x:c r="K7" s="131"/>
      <x:c r="L7" s="199"/>
    </x:row>
    <x:row r="8">
      <x:c r="A8" s="132"/>
      <x:c r="B8" s="133"/>
      <x:c r="C8" s="134"/>
      <x:c r="D8" s="199"/>
      <x:c r="E8" s="132"/>
      <x:c r="F8" s="133"/>
      <x:c r="G8" s="134"/>
      <x:c r="H8" s="199"/>
      <x:c r="I8" s="132"/>
      <x:c r="J8" s="133"/>
      <x:c r="K8" s="134"/>
      <x:c r="L8" s="199"/>
    </x:row>
    <x:row r="9">
      <x:c r="A9" s="199"/>
      <x:c r="B9" s="199"/>
      <x:c r="C9" s="199"/>
      <x:c r="D9" s="199"/>
      <x:c r="E9" s="199"/>
      <x:c r="F9" s="199"/>
      <x:c r="G9" s="199"/>
      <x:c r="H9" s="199"/>
      <x:c r="I9" s="199"/>
      <x:c r="J9" s="199"/>
      <x:c r="K9" s="199"/>
      <x:c r="L9" s="199"/>
    </x:row>
    <x:row r="10">
      <x:c r="A10" s="213" t="str">
        <x:v>Mean Feedback Score</x:v>
      </x:c>
      <x:c r="B10" s="213" t="str">
        <x:v>Mean Feedback Score</x:v>
      </x:c>
      <x:c r="C10" s="213" t="str">
        <x:v>Mean Feedback Score</x:v>
      </x:c>
      <x:c r="D10" s="199"/>
      <x:c r="E10" s="213" t="str">
        <x:v>Wait Time (min)</x:v>
      </x:c>
      <x:c r="F10" s="213" t="str">
        <x:v>Wait Time (min)</x:v>
      </x:c>
      <x:c r="G10" s="213" t="str">
        <x:v>Wait Time (min)</x:v>
      </x:c>
      <x:c r="H10" s="199"/>
      <x:c r="I10" s="213" t="str">
        <x:v>Resource Records (All)</x:v>
      </x:c>
      <x:c r="J10" s="213" t="str">
        <x:v>Resource Records (All)</x:v>
      </x:c>
      <x:c r="K10" s="213" t="str">
        <x:v>Resource Records (All)</x:v>
      </x:c>
      <x:c r="L10" s="199"/>
    </x:row>
    <x:row r="11">
      <x:c r="A11" s="147" t="n">
        <x:f>IF($B$4="All",AVERAGE('Cleaned_Feedback'!$J$5:$J$19),IFERROR(AVERAGEIF('Cleaned_Feedback'!$G$5:$G$19,$B$4,'Cleaned_Feedback'!$J$5:$J$19),"N/A"))</x:f>
        <x:v>7</x:v>
      </x:c>
      <x:c r="B11" s="148"/>
      <x:c r="C11" s="149"/>
      <x:c r="D11" s="199"/>
      <x:c r="E11" s="165" t="str">
        <x:f>"N/A"</x:f>
        <x:v>N/A</x:v>
      </x:c>
      <x:c r="F11" s="166"/>
      <x:c r="G11" s="167"/>
      <x:c r="H11" s="199"/>
      <x:c r="I11" s="129" t="n">
        <x:f>COUNTA('Cleaned_Resource'!$A$5:$A$14)</x:f>
        <x:v>10</x:v>
      </x:c>
      <x:c r="J11" s="130"/>
      <x:c r="K11" s="131"/>
      <x:c r="L11" s="199"/>
    </x:row>
    <x:row r="12">
      <x:c r="A12" s="150"/>
      <x:c r="B12" s="151"/>
      <x:c r="C12" s="152"/>
      <x:c r="D12" s="199"/>
      <x:c r="E12" s="168"/>
      <x:c r="F12" s="169"/>
      <x:c r="G12" s="170"/>
      <x:c r="H12" s="199"/>
      <x:c r="I12" s="132"/>
      <x:c r="J12" s="133"/>
      <x:c r="K12" s="134"/>
      <x:c r="L12" s="199"/>
    </x:row>
    <x:row r="13">
      <x:c r="A13" s="199"/>
      <x:c r="B13" s="199"/>
      <x:c r="C13" s="199"/>
      <x:c r="D13" s="199"/>
      <x:c r="E13" s="199"/>
      <x:c r="F13" s="199"/>
      <x:c r="G13" s="199"/>
      <x:c r="H13" s="199"/>
      <x:c r="I13" s="199"/>
      <x:c r="J13" s="199"/>
      <x:c r="K13" s="199"/>
      <x:c r="L13" s="199"/>
    </x:row>
    <x:row r="14">
      <x:c r="A14" s="199"/>
      <x:c r="B14" s="199"/>
      <x:c r="C14" s="199"/>
      <x:c r="D14" s="199"/>
      <x:c r="E14" s="199"/>
      <x:c r="F14" s="199"/>
      <x:c r="G14" s="199"/>
      <x:c r="H14" s="199"/>
      <x:c r="I14" s="199"/>
      <x:c r="J14" s="199"/>
      <x:c r="K14" s="199"/>
      <x:c r="L14" s="199"/>
    </x:row>
    <x:row r="15" ht="32" customHeight="1">
      <x:c r="A15" s="32" t="str">
        <x:v>Appointment Status</x:v>
      </x:c>
      <x:c r="B15" s="33" t="str">
        <x:v>Selected Count</x:v>
      </x:c>
      <x:c r="C15" s="199"/>
      <x:c r="D15" s="199"/>
      <x:c r="E15" s="199"/>
      <x:c r="F15" s="199"/>
      <x:c r="G15" s="199"/>
      <x:c r="H15" s="199"/>
      <x:c r="I15" s="199"/>
      <x:c r="J15" s="199"/>
      <x:c r="K15" s="199"/>
      <x:c r="L15" s="199"/>
    </x:row>
    <x:row r="16">
      <x:c r="A16" s="199" t="str">
        <x:v>Completed</x:v>
      </x:c>
      <x:c r="B16" s="199" t="n">
        <x:f>IF($B$4="All",COUNTIF('Cleaned_Appointment'!$K$5:$K$24,A16),COUNTIFS('Cleaned_Appointment'!$K$5:$K$24,A16,'Cleaned_Appointment'!$D$5:$D$24,$B$4))</x:f>
        <x:v>8</x:v>
      </x:c>
      <x:c r="C16" s="199"/>
      <x:c r="D16" s="199"/>
      <x:c r="E16" s="199"/>
      <x:c r="F16" s="199"/>
      <x:c r="G16" s="199"/>
      <x:c r="H16" s="199"/>
      <x:c r="I16" s="199"/>
      <x:c r="J16" s="199"/>
      <x:c r="K16" s="199"/>
      <x:c r="L16" s="199"/>
    </x:row>
    <x:row r="17">
      <x:c r="A17" s="199" t="str">
        <x:v>No Show</x:v>
      </x:c>
      <x:c r="B17" s="199" t="n">
        <x:f>IF($B$4="All",COUNTIF('Cleaned_Appointment'!$K$5:$K$24,A17),COUNTIFS('Cleaned_Appointment'!$K$5:$K$24,A17,'Cleaned_Appointment'!$D$5:$D$24,$B$4))</x:f>
        <x:v>4</x:v>
      </x:c>
      <x:c r="C17" s="199"/>
      <x:c r="D17" s="199"/>
      <x:c r="E17" s="199"/>
      <x:c r="F17" s="199"/>
      <x:c r="G17" s="199"/>
      <x:c r="H17" s="199"/>
      <x:c r="I17" s="199"/>
      <x:c r="J17" s="199"/>
      <x:c r="K17" s="199"/>
      <x:c r="L17" s="199"/>
    </x:row>
    <x:row r="18">
      <x:c r="A18" s="199" t="str">
        <x:v>Rescheduled</x:v>
      </x:c>
      <x:c r="B18" s="199" t="n">
        <x:f>IF($B$4="All",COUNTIF('Cleaned_Appointment'!$K$5:$K$24,A18),COUNTIFS('Cleaned_Appointment'!$K$5:$K$24,A18,'Cleaned_Appointment'!$D$5:$D$24,$B$4))</x:f>
        <x:v>4</x:v>
      </x:c>
      <x:c r="C18" s="199"/>
      <x:c r="D18" s="199"/>
      <x:c r="E18" s="199"/>
      <x:c r="F18" s="199"/>
      <x:c r="G18" s="199"/>
      <x:c r="H18" s="199"/>
      <x:c r="I18" s="199"/>
      <x:c r="J18" s="199"/>
      <x:c r="K18" s="199"/>
      <x:c r="L18" s="199"/>
    </x:row>
    <x:row r="19">
      <x:c r="A19" s="199" t="str">
        <x:v>Cancelled</x:v>
      </x:c>
      <x:c r="B19" s="199" t="n">
        <x:f>IF($B$4="All",COUNTIF('Cleaned_Appointment'!$K$5:$K$24,A19),COUNTIFS('Cleaned_Appointment'!$K$5:$K$24,A19,'Cleaned_Appointment'!$D$5:$D$24,$B$4))</x:f>
        <x:v>4</x:v>
      </x:c>
      <x:c r="C19" s="199"/>
      <x:c r="D19" s="199"/>
      <x:c r="E19" s="199"/>
      <x:c r="F19" s="199"/>
      <x:c r="G19" s="199"/>
      <x:c r="H19" s="199"/>
      <x:c r="I19" s="199"/>
      <x:c r="J19" s="199"/>
      <x:c r="K19" s="199"/>
      <x:c r="L19" s="199"/>
    </x:row>
    <x:row r="20">
      <x:c r="A20" s="199"/>
      <x:c r="B20" s="199"/>
      <x:c r="C20" s="199"/>
      <x:c r="D20" s="199"/>
      <x:c r="E20" s="199"/>
      <x:c r="F20" s="199"/>
      <x:c r="G20" s="199"/>
      <x:c r="H20" s="199"/>
      <x:c r="I20" s="199"/>
      <x:c r="J20" s="199"/>
      <x:c r="K20" s="199"/>
      <x:c r="L20" s="199"/>
    </x:row>
    <x:row r="21">
      <x:c r="A21" s="199"/>
      <x:c r="B21" s="199"/>
      <x:c r="C21" s="199"/>
      <x:c r="D21" s="199"/>
      <x:c r="E21" s="199"/>
      <x:c r="F21" s="199"/>
      <x:c r="G21" s="199"/>
      <x:c r="H21" s="199"/>
      <x:c r="I21" s="199"/>
      <x:c r="J21" s="199"/>
      <x:c r="K21" s="199"/>
      <x:c r="L21" s="199"/>
    </x:row>
    <x:row r="22" ht="32" customHeight="1">
      <x:c r="A22" s="32" t="str">
        <x:v>Quality / interpretation check</x:v>
      </x:c>
      <x:c r="B22" s="76" t="str">
        <x:v>Current result</x:v>
      </x:c>
      <x:c r="C22" s="33" t="str">
        <x:v>Meaning</x:v>
      </x:c>
      <x:c r="D22" s="199"/>
      <x:c r="E22" s="199"/>
      <x:c r="F22" s="199"/>
      <x:c r="G22" s="199"/>
      <x:c r="H22" s="199"/>
      <x:c r="I22" s="199"/>
      <x:c r="J22" s="199"/>
      <x:c r="K22" s="199"/>
      <x:c r="L22" s="199"/>
    </x:row>
    <x:row r="23" ht="28" customHeight="1">
      <x:c r="A23" s="214" t="str">
        <x:v>Unique listed peak time</x:v>
      </x:c>
      <x:c r="B23" s="214" t="str">
        <x:v>None</x:v>
      </x:c>
      <x:c r="C23" s="214" t="str">
        <x:v>Each of five times has four records</x:v>
      </x:c>
      <x:c r="D23" s="199"/>
      <x:c r="E23" s="199"/>
      <x:c r="F23" s="199"/>
      <x:c r="G23" s="199"/>
      <x:c r="H23" s="199"/>
      <x:c r="I23" s="199"/>
      <x:c r="J23" s="199"/>
      <x:c r="K23" s="199"/>
      <x:c r="L23" s="199"/>
    </x:row>
    <x:row r="24" ht="28" customHeight="1">
      <x:c r="A24" s="214" t="str">
        <x:v>Low satisfaction rows under lab rule</x:v>
      </x:c>
      <x:c r="B24" s="214" t="n">
        <x:v>0</x:v>
      </x:c>
      <x:c r="C24" s="214" t="str">
        <x:v>All scores are &gt;= 4</x:v>
      </x:c>
      <x:c r="D24" s="199"/>
      <x:c r="E24" s="199"/>
      <x:c r="F24" s="199"/>
      <x:c r="G24" s="199"/>
      <x:c r="H24" s="199"/>
      <x:c r="I24" s="199"/>
      <x:c r="J24" s="199"/>
      <x:c r="K24" s="199"/>
      <x:c r="L24" s="199"/>
    </x:row>
    <x:row r="25" ht="28" customHeight="1">
      <x:c r="A25" s="214" t="str">
        <x:v>Wait time</x:v>
      </x:c>
      <x:c r="B25" s="214" t="str">
        <x:v>N/A</x:v>
      </x:c>
      <x:c r="C25" s="214" t="str">
        <x:v>No check-in/consultation-start timestamps</x:v>
      </x:c>
      <x:c r="D25" s="199"/>
      <x:c r="E25" s="199"/>
      <x:c r="F25" s="199"/>
      <x:c r="G25" s="199"/>
      <x:c r="H25" s="199"/>
      <x:c r="I25" s="199"/>
      <x:c r="J25" s="199"/>
      <x:c r="K25" s="199"/>
      <x:c r="L25" s="199"/>
    </x:row>
    <x:row r="26" ht="28" customHeight="1">
      <x:c r="A26" s="214" t="str">
        <x:v>Resource utilization</x:v>
      </x:c>
      <x:c r="B26" s="214" t="str">
        <x:v>N/A</x:v>
      </x:c>
      <x:c r="C26" s="214" t="str">
        <x:v>No capacity-hours denominator</x:v>
      </x:c>
      <x:c r="D26" s="199"/>
      <x:c r="E26" s="199"/>
      <x:c r="F26" s="199"/>
      <x:c r="G26" s="199"/>
      <x:c r="H26" s="199"/>
      <x:c r="I26" s="199"/>
      <x:c r="J26" s="199"/>
      <x:c r="K26" s="199"/>
      <x:c r="L26" s="199"/>
    </x:row>
    <x:row r="27" ht="28" customHeight="1">
      <x:c r="A27" s="214" t="str">
        <x:v>Native slicer</x:v>
      </x:c>
      <x:c r="B27" s="214" t="str">
        <x:v>Not generated</x:v>
      </x:c>
      <x:c r="C27" s="214" t="str">
        <x:v>Use selector and table filters; see 00_Guide</x:v>
      </x:c>
      <x:c r="D27" s="199"/>
      <x:c r="E27" s="199"/>
      <x:c r="F27" s="199"/>
      <x:c r="G27" s="199"/>
      <x:c r="H27" s="199"/>
      <x:c r="I27" s="199"/>
      <x:c r="J27" s="199"/>
      <x:c r="K27" s="199"/>
      <x:c r="L27" s="199"/>
    </x:row>
    <x:row r="28">
      <x:c r="A28" s="199"/>
      <x:c r="B28" s="199"/>
      <x:c r="C28" s="199"/>
      <x:c r="D28" s="199"/>
      <x:c r="E28" s="199"/>
      <x:c r="F28" s="199"/>
      <x:c r="G28" s="199"/>
      <x:c r="H28" s="199"/>
      <x:c r="I28" s="199"/>
      <x:c r="J28" s="199"/>
      <x:c r="K28" s="199"/>
      <x:c r="L28" s="199"/>
    </x:row>
    <x:row r="29">
      <x:c r="A29" s="199"/>
      <x:c r="B29" s="199"/>
      <x:c r="C29" s="199"/>
      <x:c r="D29" s="199"/>
      <x:c r="E29" s="199"/>
      <x:c r="F29" s="199"/>
      <x:c r="G29" s="199"/>
      <x:c r="H29" s="199"/>
      <x:c r="I29" s="199"/>
      <x:c r="J29" s="199"/>
      <x:c r="K29" s="199"/>
      <x:c r="L29" s="199"/>
    </x:row>
    <x:row r="30">
      <x:c r="A30" s="199"/>
      <x:c r="B30" s="199"/>
      <x:c r="C30" s="199"/>
      <x:c r="D30" s="199"/>
      <x:c r="E30" s="199"/>
      <x:c r="F30" s="199"/>
      <x:c r="G30" s="199"/>
      <x:c r="H30" s="199"/>
      <x:c r="I30" s="199"/>
      <x:c r="J30" s="199"/>
      <x:c r="K30" s="199"/>
      <x:c r="L30" s="199"/>
    </x:row>
    <x:row r="31">
      <x:c r="A31" s="199"/>
      <x:c r="B31" s="199"/>
      <x:c r="C31" s="199"/>
      <x:c r="D31" s="199"/>
      <x:c r="E31" s="199"/>
      <x:c r="F31" s="199"/>
      <x:c r="G31" s="199"/>
      <x:c r="H31" s="199"/>
      <x:c r="I31" s="199"/>
      <x:c r="J31" s="199"/>
      <x:c r="K31" s="199"/>
      <x:c r="L31" s="199"/>
    </x:row>
    <x:row r="32">
      <x:c r="A32" s="189" t="str">
        <x:v>Decision note: use this workbook to prototype reporting and agree data requirements. Do not treat the supplied samples as hospital-wide performance, causal evidence, or an approved baseline.</x:v>
      </x:c>
      <x:c r="B32" s="190" t="str">
        <x:v>Decision note: use this workbook to prototype reporting and agree data requirements. Do not treat the supplied samples as hospital-wide performance, causal evidence, or an approved baseline.</x:v>
      </x:c>
      <x:c r="C32" s="190" t="str">
        <x:v>Decision note: use this workbook to prototype reporting and agree data requirements. Do not treat the supplied samples as hospital-wide performance, causal evidence, or an approved baseline.</x:v>
      </x:c>
      <x:c r="D32" s="190" t="str">
        <x:v>Decision note: use this workbook to prototype reporting and agree data requirements. Do not treat the supplied samples as hospital-wide performance, causal evidence, or an approved baseline.</x:v>
      </x:c>
      <x:c r="E32" s="190" t="str">
        <x:v>Decision note: use this workbook to prototype reporting and agree data requirements. Do not treat the supplied samples as hospital-wide performance, causal evidence, or an approved baseline.</x:v>
      </x:c>
      <x:c r="F32" s="190" t="str">
        <x:v>Decision note: use this workbook to prototype reporting and agree data requirements. Do not treat the supplied samples as hospital-wide performance, causal evidence, or an approved baseline.</x:v>
      </x:c>
      <x:c r="G32" s="190" t="str">
        <x:v>Decision note: use this workbook to prototype reporting and agree data requirements. Do not treat the supplied samples as hospital-wide performance, causal evidence, or an approved baseline.</x:v>
      </x:c>
      <x:c r="H32" s="190" t="str">
        <x:v>Decision note: use this workbook to prototype reporting and agree data requirements. Do not treat the supplied samples as hospital-wide performance, causal evidence, or an approved baseline.</x:v>
      </x:c>
      <x:c r="I32" s="190" t="str">
        <x:v>Decision note: use this workbook to prototype reporting and agree data requirements. Do not treat the supplied samples as hospital-wide performance, causal evidence, or an approved baseline.</x:v>
      </x:c>
      <x:c r="J32" s="190" t="str">
        <x:v>Decision note: use this workbook to prototype reporting and agree data requirements. Do not treat the supplied samples as hospital-wide performance, causal evidence, or an approved baseline.</x:v>
      </x:c>
      <x:c r="K32" s="190" t="str">
        <x:v>Decision note: use this workbook to prototype reporting and agree data requirements. Do not treat the supplied samples as hospital-wide performance, causal evidence, or an approved baseline.</x:v>
      </x:c>
      <x:c r="L32" s="191" t="str">
        <x:v>Decision note: use this workbook to prototype reporting and agree data requirements. Do not treat the supplied samples as hospital-wide performance, causal evidence, or an approved baseline.</x:v>
      </x:c>
    </x:row>
    <x:row r="33">
      <x:c r="A33" s="192" t="str">
        <x:v>Decision note: use this workbook to prototype reporting and agree data requirements. Do not treat the supplied samples as hospital-wide performance, causal evidence, or an approved baseline.</x:v>
      </x:c>
      <x:c r="B33" s="193" t="str">
        <x:v>Decision note: use this workbook to prototype reporting and agree data requirements. Do not treat the supplied samples as hospital-wide performance, causal evidence, or an approved baseline.</x:v>
      </x:c>
      <x:c r="C33" s="193" t="str">
        <x:v>Decision note: use this workbook to prototype reporting and agree data requirements. Do not treat the supplied samples as hospital-wide performance, causal evidence, or an approved baseline.</x:v>
      </x:c>
      <x:c r="D33" s="193" t="str">
        <x:v>Decision note: use this workbook to prototype reporting and agree data requirements. Do not treat the supplied samples as hospital-wide performance, causal evidence, or an approved baseline.</x:v>
      </x:c>
      <x:c r="E33" s="193" t="str">
        <x:v>Decision note: use this workbook to prototype reporting and agree data requirements. Do not treat the supplied samples as hospital-wide performance, causal evidence, or an approved baseline.</x:v>
      </x:c>
      <x:c r="F33" s="193" t="str">
        <x:v>Decision note: use this workbook to prototype reporting and agree data requirements. Do not treat the supplied samples as hospital-wide performance, causal evidence, or an approved baseline.</x:v>
      </x:c>
      <x:c r="G33" s="193" t="str">
        <x:v>Decision note: use this workbook to prototype reporting and agree data requirements. Do not treat the supplied samples as hospital-wide performance, causal evidence, or an approved baseline.</x:v>
      </x:c>
      <x:c r="H33" s="193" t="str">
        <x:v>Decision note: use this workbook to prototype reporting and agree data requirements. Do not treat the supplied samples as hospital-wide performance, causal evidence, or an approved baseline.</x:v>
      </x:c>
      <x:c r="I33" s="193" t="str">
        <x:v>Decision note: use this workbook to prototype reporting and agree data requirements. Do not treat the supplied samples as hospital-wide performance, causal evidence, or an approved baseline.</x:v>
      </x:c>
      <x:c r="J33" s="193" t="str">
        <x:v>Decision note: use this workbook to prototype reporting and agree data requirements. Do not treat the supplied samples as hospital-wide performance, causal evidence, or an approved baseline.</x:v>
      </x:c>
      <x:c r="K33" s="193" t="str">
        <x:v>Decision note: use this workbook to prototype reporting and agree data requirements. Do not treat the supplied samples as hospital-wide performance, causal evidence, or an approved baseline.</x:v>
      </x:c>
      <x:c r="L33" s="194" t="str">
        <x:v>Decision note: use this workbook to prototype reporting and agree data requirements. Do not treat the supplied samples as hospital-wide performance, causal evidence, or an approved baseline.</x:v>
      </x:c>
    </x:row>
    <x:row r="34">
      <x:c r="A34" s="195" t="str">
        <x:v>Decision note: use this workbook to prototype reporting and agree data requirements. Do not treat the supplied samples as hospital-wide performance, causal evidence, or an approved baseline.</x:v>
      </x:c>
      <x:c r="B34" s="196" t="str">
        <x:v>Decision note: use this workbook to prototype reporting and agree data requirements. Do not treat the supplied samples as hospital-wide performance, causal evidence, or an approved baseline.</x:v>
      </x:c>
      <x:c r="C34" s="196" t="str">
        <x:v>Decision note: use this workbook to prototype reporting and agree data requirements. Do not treat the supplied samples as hospital-wide performance, causal evidence, or an approved baseline.</x:v>
      </x:c>
      <x:c r="D34" s="196" t="str">
        <x:v>Decision note: use this workbook to prototype reporting and agree data requirements. Do not treat the supplied samples as hospital-wide performance, causal evidence, or an approved baseline.</x:v>
      </x:c>
      <x:c r="E34" s="196" t="str">
        <x:v>Decision note: use this workbook to prototype reporting and agree data requirements. Do not treat the supplied samples as hospital-wide performance, causal evidence, or an approved baseline.</x:v>
      </x:c>
      <x:c r="F34" s="196" t="str">
        <x:v>Decision note: use this workbook to prototype reporting and agree data requirements. Do not treat the supplied samples as hospital-wide performance, causal evidence, or an approved baseline.</x:v>
      </x:c>
      <x:c r="G34" s="196" t="str">
        <x:v>Decision note: use this workbook to prototype reporting and agree data requirements. Do not treat the supplied samples as hospital-wide performance, causal evidence, or an approved baseline.</x:v>
      </x:c>
      <x:c r="H34" s="196" t="str">
        <x:v>Decision note: use this workbook to prototype reporting and agree data requirements. Do not treat the supplied samples as hospital-wide performance, causal evidence, or an approved baseline.</x:v>
      </x:c>
      <x:c r="I34" s="196" t="str">
        <x:v>Decision note: use this workbook to prototype reporting and agree data requirements. Do not treat the supplied samples as hospital-wide performance, causal evidence, or an approved baseline.</x:v>
      </x:c>
      <x:c r="J34" s="196" t="str">
        <x:v>Decision note: use this workbook to prototype reporting and agree data requirements. Do not treat the supplied samples as hospital-wide performance, causal evidence, or an approved baseline.</x:v>
      </x:c>
      <x:c r="K34" s="196" t="str">
        <x:v>Decision note: use this workbook to prototype reporting and agree data requirements. Do not treat the supplied samples as hospital-wide performance, causal evidence, or an approved baseline.</x:v>
      </x:c>
      <x:c r="L34" s="197" t="str">
        <x:v>Decision note: use this workbook to prototype reporting and agree data requirements. Do not treat the supplied samples as hospital-wide performance, causal evidence, or an approved baseline.</x:v>
      </x:c>
    </x:row>
  </x:sheetData>
  <x:mergeCells>
    <x:mergeCell ref="A1:L1"/>
    <x:mergeCell ref="A2:L2"/>
    <x:mergeCell ref="D4:L4"/>
    <x:mergeCell ref="A6:C6"/>
    <x:mergeCell ref="A7:C8"/>
    <x:mergeCell ref="E6:G6"/>
    <x:mergeCell ref="E7:G8"/>
    <x:mergeCell ref="I6:K6"/>
    <x:mergeCell ref="I7:K8"/>
    <x:mergeCell ref="A10:C10"/>
    <x:mergeCell ref="A11:C12"/>
    <x:mergeCell ref="E10:G10"/>
    <x:mergeCell ref="E11:G12"/>
    <x:mergeCell ref="I10:K10"/>
    <x:mergeCell ref="I11:K12"/>
    <x:mergeCell ref="A32:L34"/>
  </x:mergeCells>
  <x:dataValidations count="1">
    <x:dataValidation type="list" sqref="B4">
      <x:formula1>'Lookups'!$A$4:$A$9</x:formula1>
    </x:dataValidation>
  </x:dataValidations>
  <x:pageMargins left="0.7" right="0.7" top="0.75" bottom="0.75" header="0.3" footer="0.3"/>
  <x:drawing xmlns:r="http://schemas.openxmlformats.org/officeDocument/2006/relationships" r:id="Ra6f3c76bdf6e412e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34" hidden="0" customWidth="1"/>
    <x:col min="5" max="5" width="34" hidden="0" customWidth="1"/>
    <x:col min="6" max="6" width="46" hidden="0" customWidth="1"/>
    <x:col min="7" max="7" width="28" hidden="0" customWidth="1"/>
  </x:cols>
  <x:sheetData>
    <x:row r="1" ht="28" customHeight="1">
      <x:c r="A1" s="3" t="str">
        <x:v>Data Quality and Reconciliation Log</x:v>
      </x:c>
      <x:c r="B1" s="3" t="str">
        <x:v>Data Quality and Reconciliation Log</x:v>
      </x:c>
      <x:c r="C1" s="3" t="str">
        <x:v>Data Quality and Reconciliation Log</x:v>
      </x:c>
      <x:c r="D1" s="3" t="str">
        <x:v>Data Quality and Reconciliation Log</x:v>
      </x:c>
      <x:c r="E1" s="3" t="str">
        <x:v>Data Quality and Reconciliation Log</x:v>
      </x:c>
      <x:c r="F1" s="3" t="str">
        <x:v>Data Quality and Reconciliation Log</x:v>
      </x:c>
      <x:c r="G1" s="3" t="str">
        <x:v>Data Quality and Reconciliation Log</x:v>
      </x:c>
    </x:row>
    <x:row r="2" ht="34" customHeight="1">
      <x:c r="A2" s="89" t="str">
        <x:v>There are no literal blank cells or exact duplicate rows. Structural gaps remain and prevent several requested calculations.</x:v>
      </x:c>
      <x:c r="B2" s="90" t="str">
        <x:v>There are no literal blank cells or exact duplicate rows. Structural gaps remain and prevent several requested calculations.</x:v>
      </x:c>
      <x:c r="C2" s="90" t="str">
        <x:v>There are no literal blank cells or exact duplicate rows. Structural gaps remain and prevent several requested calculations.</x:v>
      </x:c>
      <x:c r="D2" s="90" t="str">
        <x:v>There are no literal blank cells or exact duplicate rows. Structural gaps remain and prevent several requested calculations.</x:v>
      </x:c>
      <x:c r="E2" s="90" t="str">
        <x:v>There are no literal blank cells or exact duplicate rows. Structural gaps remain and prevent several requested calculations.</x:v>
      </x:c>
      <x:c r="F2" s="90" t="str">
        <x:v>There are no literal blank cells or exact duplicate rows. Structural gaps remain and prevent several requested calculations.</x:v>
      </x:c>
      <x:c r="G2" s="91" t="str">
        <x:v>There are no literal blank cells or exact duplicate rows. Structural gaps remain and prevent several requested calculations.</x:v>
      </x:c>
    </x:row>
    <x:row r="3">
      <x:c r="A3" s="199"/>
      <x:c r="B3" s="199"/>
      <x:c r="C3" s="199"/>
      <x:c r="D3" s="199"/>
      <x:c r="E3" s="199"/>
      <x:c r="F3" s="199"/>
      <x:c r="G3" s="199"/>
    </x:row>
    <x:row r="4" ht="32" customHeight="1">
      <x:c r="A4" s="32" t="str">
        <x:v>Dataset</x:v>
      </x:c>
      <x:c r="B4" s="76" t="str">
        <x:v>Source Rows</x:v>
      </x:c>
      <x:c r="C4" s="76" t="str">
        <x:v>Exact Duplicate Rows Removed</x:v>
      </x:c>
      <x:c r="D4" s="76" t="str">
        <x:v>Blank Cells Replaced</x:v>
      </x:c>
      <x:c r="E4" s="76" t="str">
        <x:v>Cleaned Rows</x:v>
      </x:c>
      <x:c r="F4" s="76" t="str">
        <x:v>Date/Time Validation</x:v>
      </x:c>
      <x:c r="G4" s="33" t="str">
        <x:v>Result</x:v>
      </x:c>
    </x:row>
    <x:row r="5">
      <x:c r="A5" s="199" t="str">
        <x:v>Appointment</x:v>
      </x:c>
      <x:c r="B5" s="199" t="n">
        <x:v>20</x:v>
      </x:c>
      <x:c r="C5" s="199" t="n">
        <x:v>0</x:v>
      </x:c>
      <x:c r="D5" s="199" t="n">
        <x:v>0</x:v>
      </x:c>
      <x:c r="E5" s="199" t="n">
        <x:v>20</x:v>
      </x:c>
      <x:c r="F5" s="199" t="str">
        <x:v>All 20 dates/times valid</x:v>
      </x:c>
      <x:c r="G5" s="199" t="str">
        <x:v>Pass - structurally incomplete</x:v>
      </x:c>
    </x:row>
    <x:row r="6">
      <x:c r="A6" s="199" t="str">
        <x:v>Feedback</x:v>
      </x:c>
      <x:c r="B6" s="199" t="n">
        <x:v>15</x:v>
      </x:c>
      <x:c r="C6" s="199" t="n">
        <x:v>0</x:v>
      </x:c>
      <x:c r="D6" s="199" t="n">
        <x:v>0</x:v>
      </x:c>
      <x:c r="E6" s="199" t="n">
        <x:v>15</x:v>
      </x:c>
      <x:c r="F6" s="199" t="str">
        <x:v>All 15 dates valid</x:v>
      </x:c>
      <x:c r="G6" s="199" t="str">
        <x:v>Pass - structurally incomplete</x:v>
      </x:c>
    </x:row>
    <x:row r="7">
      <x:c r="A7" s="199" t="str">
        <x:v>Resource</x:v>
      </x:c>
      <x:c r="B7" s="199" t="n">
        <x:v>10</x:v>
      </x:c>
      <x:c r="C7" s="199" t="n">
        <x:v>0</x:v>
      </x:c>
      <x:c r="D7" s="199" t="n">
        <x:v>0</x:v>
      </x:c>
      <x:c r="E7" s="199" t="n">
        <x:v>10</x:v>
      </x:c>
      <x:c r="F7" s="199" t="str">
        <x:v>All 10 dates valid</x:v>
      </x:c>
      <x:c r="G7" s="199" t="str">
        <x:v>Pass - definitions incomplete</x:v>
      </x:c>
    </x:row>
    <x:row r="8">
      <x:c r="A8" s="199"/>
      <x:c r="B8" s="199"/>
      <x:c r="C8" s="199"/>
      <x:c r="D8" s="199"/>
      <x:c r="E8" s="199"/>
      <x:c r="F8" s="199"/>
      <x:c r="G8" s="199"/>
    </x:row>
    <x:row r="9">
      <x:c r="A9" s="199"/>
      <x:c r="B9" s="199"/>
      <x:c r="C9" s="199"/>
      <x:c r="D9" s="199"/>
      <x:c r="E9" s="199"/>
      <x:c r="F9" s="199"/>
      <x:c r="G9" s="199"/>
    </x:row>
    <x:row r="10" ht="32" customHeight="1">
      <x:c r="A10" s="32" t="str">
        <x:v>DQ ID</x:v>
      </x:c>
      <x:c r="B10" s="76" t="str">
        <x:v>Dataset / field</x:v>
      </x:c>
      <x:c r="C10" s="76" t="str">
        <x:v>Gap</x:v>
      </x:c>
      <x:c r="D10" s="76" t="str">
        <x:v>Impact</x:v>
      </x:c>
      <x:c r="E10" s="76" t="str">
        <x:v>Workbook treatment</x:v>
      </x:c>
      <x:c r="F10" s="33" t="str">
        <x:v>Recommended action</x:v>
      </x:c>
      <x:c r="G10" s="199"/>
    </x:row>
    <x:row r="11" ht="32" customHeight="1">
      <x:c r="A11" s="214" t="str">
        <x:v>DQ-01</x:v>
      </x:c>
      <x:c r="B11" s="214" t="str">
        <x:v>Appointment timestamps</x:v>
      </x:c>
      <x:c r="C11" s="214" t="str">
        <x:v>No request, booking, physical check-in, or consultation-start timestamps</x:v>
      </x:c>
      <x:c r="D11" s="214" t="str">
        <x:v>Cycle and wait time unavailable</x:v>
      </x:c>
      <x:c r="E11" s="214" t="str">
        <x:v>Wait Time = N/A</x:v>
      </x:c>
      <x:c r="F11" s="214" t="str">
        <x:v>Capture event timestamps and approve the wait formula</x:v>
      </x:c>
      <x:c r="G11" s="199"/>
    </x:row>
    <x:row r="12" ht="32" customHeight="1">
      <x:c r="A12" s="214" t="str">
        <x:v>DQ-02</x:v>
      </x:c>
      <x:c r="B12" s="214" t="str">
        <x:v>Duration/resources/history</x:v>
      </x:c>
      <x:c r="C12" s="214" t="str">
        <x:v>No duration, end time, assignment, history, or override log</x:v>
      </x:c>
      <x:c r="D12" s="214" t="str">
        <x:v>True overlaps cannot be assessed</x:v>
      </x:c>
      <x:c r="E12" s="214" t="str">
        <x:v>Only exact duplicate check</x:v>
      </x:c>
      <x:c r="F12" s="214" t="str">
        <x:v>Add duration, assignments, history, and override evidence</x:v>
      </x:c>
      <x:c r="G12" s="199"/>
    </x:row>
    <x:row r="13" ht="32" customHeight="1">
      <x:c r="A13" s="214" t="str">
        <x:v>DQ-03</x:v>
      </x:c>
      <x:c r="B13" s="214" t="str">
        <x:v>Appointment pattern</x:v>
      </x:c>
      <x:c r="C13" s="214" t="str">
        <x:v>Department, doctor, time, and status are perfectly patterned</x:v>
      </x:c>
      <x:c r="D13" s="214" t="str">
        <x:v>Associations are confounded</x:v>
      </x:c>
      <x:c r="E13" s="214" t="str">
        <x:v>No causal inference</x:v>
      </x:c>
      <x:c r="F13" s="214" t="str">
        <x:v>Collect representative multi-row daily data</x:v>
      </x:c>
      <x:c r="G13" s="199"/>
    </x:row>
    <x:row r="14" ht="32" customHeight="1">
      <x:c r="A14" s="214" t="str">
        <x:v>DQ-04</x:v>
      </x:c>
      <x:c r="B14" s="214" t="str">
        <x:v>Feedback metadata</x:v>
      </x:c>
      <x:c r="C14" s="214" t="str">
        <x:v>Scale, benchmark, sample design, and denominator absent</x:v>
      </x:c>
      <x:c r="D14" s="214" t="str">
        <x:v>Score has limited context</x:v>
      </x:c>
      <x:c r="E14" s="214" t="str">
        <x:v>Descriptive summaries only</x:v>
      </x:c>
      <x:c r="F14" s="214" t="str">
        <x:v>Define scale, benchmark, and sampling</x:v>
      </x:c>
      <x:c r="G14" s="199"/>
    </x:row>
    <x:row r="15" ht="32" customHeight="1">
      <x:c r="A15" s="214" t="str">
        <x:v>DQ-05</x:v>
      </x:c>
      <x:c r="B15" s="214" t="str">
        <x:v>Feedback linkage</x:v>
      </x:c>
      <x:c r="C15" s="214" t="str">
        <x:v>No AppointmentID</x:v>
      </x:c>
      <x:c r="D15" s="214" t="str">
        <x:v>Encounter link not authoritative</x:v>
      </x:c>
      <x:c r="E15" s="214" t="str">
        <x:v>Provisional PatientID lookup per lab</x:v>
      </x:c>
      <x:c r="F15" s="214" t="str">
        <x:v>Add an approved encounter key with privacy controls</x:v>
      </x:c>
      <x:c r="G15" s="199"/>
    </x:row>
    <x:row r="16" ht="32" customHeight="1">
      <x:c r="A16" s="214" t="str">
        <x:v>DQ-06</x:v>
      </x:c>
      <x:c r="B16" s="214" t="str">
        <x:v>Resource denominator</x:v>
      </x:c>
      <x:c r="C16" s="214" t="str">
        <x:v>No capacity, demand, reservation, department, or interval</x:v>
      </x:c>
      <x:c r="D16" s="214" t="str">
        <x:v>Utilization and shortage unavailable</x:v>
      </x:c>
      <x:c r="E16" s="214" t="str">
        <x:v>Recorded hours only</x:v>
      </x:c>
      <x:c r="F16" s="214" t="str">
        <x:v>Capture capacity and interval-level demand/assignment</x:v>
      </x:c>
      <x:c r="G16" s="199"/>
    </x:row>
    <x:row r="17" ht="32" customHeight="1">
      <x:c r="A17" s="214" t="str">
        <x:v>DQ-07</x:v>
      </x:c>
      <x:c r="B17" s="214" t="str">
        <x:v>Resource definitions</x:v>
      </x:c>
      <x:c r="C17" s="214" t="str">
        <x:v>Under Maintenance room rows show two usage hours</x:v>
      </x:c>
      <x:c r="D17" s="214" t="str">
        <x:v>Meaning is ambiguous</x:v>
      </x:c>
      <x:c r="E17" s="214" t="str">
        <x:v>Flagged for clarification</x:v>
      </x:c>
      <x:c r="F17" s="214" t="str">
        <x:v>Approve status and UsageHours definitions</x:v>
      </x:c>
      <x:c r="G17" s="199"/>
    </x:row>
    <x:row r="18" ht="32" customHeight="1">
      <x:c r="A18" s="214" t="str">
        <x:v>DQ-08</x:v>
      </x:c>
      <x:c r="B18" s="214" t="str">
        <x:v>Coverage</x:v>
      </x:c>
      <x:c r="C18" s="214" t="str">
        <x:v>Short, highly regular samples</x:v>
      </x:c>
      <x:c r="D18" s="214" t="str">
        <x:v>Trends and baselines unsupported</x:v>
      </x:c>
      <x:c r="E18" s="214" t="str">
        <x:v>Sample-only captions</x:v>
      </x:c>
      <x:c r="F18" s="214" t="str">
        <x:v>Collect a representative approved period</x:v>
      </x:c>
      <x:c r="G18" s="199"/>
    </x:row>
    <x:row r="19" ht="32" customHeight="1">
      <x:c r="A19" s="214" t="str">
        <x:v>DQ-09</x:v>
      </x:c>
      <x:c r="B19" s="214" t="str">
        <x:v>Resource relationship</x:v>
      </x:c>
      <x:c r="C19" s="214" t="str">
        <x:v>No appointment, patient, department, or slot key</x:v>
      </x:c>
      <x:c r="D19" s="214" t="str">
        <x:v>Cannot link resources to outcomes</x:v>
      </x:c>
      <x:c r="E19" s="214" t="str">
        <x:v>No cross-file resource join</x:v>
      </x:c>
      <x:c r="F19" s="214" t="str">
        <x:v>Add approved department/location/interval keys</x:v>
      </x:c>
      <x:c r="G19" s="199"/>
    </x:row>
    <x:row r="20">
      <x:c r="A20" s="199"/>
      <x:c r="B20" s="199"/>
      <x:c r="C20" s="199"/>
      <x:c r="D20" s="199"/>
      <x:c r="E20" s="199"/>
      <x:c r="F20" s="199"/>
      <x:c r="G20" s="199"/>
    </x:row>
    <x:row r="21">
      <x:c r="A21" s="199"/>
      <x:c r="B21" s="199"/>
      <x:c r="C21" s="199"/>
      <x:c r="D21" s="199"/>
      <x:c r="E21" s="199"/>
      <x:c r="F21" s="199"/>
      <x:c r="G21" s="199"/>
    </x:row>
    <x:row r="22" ht="32" customHeight="1">
      <x:c r="A22" s="32" t="str">
        <x:v>Join audit</x:v>
      </x:c>
      <x:c r="B22" s="76" t="str">
        <x:v>Result</x:v>
      </x:c>
      <x:c r="C22" s="33" t="str">
        <x:v>Interpretation</x:v>
      </x:c>
      <x:c r="D22" s="199"/>
      <x:c r="E22" s="199"/>
      <x:c r="F22" s="199"/>
      <x:c r="G22" s="199"/>
    </x:row>
    <x:row r="23" ht="28" customHeight="1">
      <x:c r="A23" s="214" t="str">
        <x:v>Feedback rows with unique PatientID match</x:v>
      </x:c>
      <x:c r="B23" s="215" t="n">
        <x:f>COUNTIF('Cleaned_Feedback'!$O$5:$O$19,"Unique PatientID match (lab rule)")</x:f>
        <x:v>15</x:v>
      </x:c>
      <x:c r="C23" s="214" t="str">
        <x:v>Provisional sample match only</x:v>
      </x:c>
      <x:c r="D23" s="199"/>
      <x:c r="E23" s="199"/>
      <x:c r="F23" s="199"/>
      <x:c r="G23" s="199"/>
    </x:row>
    <x:row r="24" ht="28" customHeight="1">
      <x:c r="A24" s="214" t="str">
        <x:v>Feedback rows with no PatientID match</x:v>
      </x:c>
      <x:c r="B24" s="215" t="n">
        <x:f>COUNTIF('Cleaned_Feedback'!$O$5:$O$19,"No match")</x:f>
        <x:v>0</x:v>
      </x:c>
      <x:c r="C24" s="214" t="str">
        <x:v>Expected 0</x:v>
      </x:c>
      <x:c r="D24" s="199"/>
      <x:c r="E24" s="199"/>
      <x:c r="F24" s="199"/>
      <x:c r="G24" s="199"/>
    </x:row>
    <x:row r="25" ht="28" customHeight="1">
      <x:c r="A25" s="214" t="str">
        <x:v>Appointment rows with one feedback row</x:v>
      </x:c>
      <x:c r="B25" s="215" t="n">
        <x:f>COUNTIF('Cleaned_Appointment'!$O$5:$O$24,"One feedback row")</x:f>
        <x:v>15</x:v>
      </x:c>
      <x:c r="C25" s="214" t="str">
        <x:v>Expected 15</x:v>
      </x:c>
      <x:c r="D25" s="199"/>
      <x:c r="E25" s="199"/>
      <x:c r="F25" s="199"/>
      <x:c r="G25" s="199"/>
    </x:row>
    <x:row r="26" ht="28" customHeight="1">
      <x:c r="A26" s="214" t="str">
        <x:v>Appointment rows with no feedback row</x:v>
      </x:c>
      <x:c r="B26" s="215" t="n">
        <x:f>COUNTIF('Cleaned_Appointment'!$O$5:$O$24,"No feedback row")</x:f>
        <x:v>5</x:v>
      </x:c>
      <x:c r="C26" s="214" t="str">
        <x:v>Expected 5</x:v>
      </x:c>
      <x:c r="D26" s="199"/>
      <x:c r="E26" s="199"/>
      <x:c r="F26" s="199"/>
      <x:c r="G26" s="19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" hidden="0" customWidth="1"/>
    <x:col min="3" max="3" width="22" hidden="0" customWidth="1"/>
    <x:col min="4" max="4" width="4" hidden="0" customWidth="1"/>
    <x:col min="5" max="5" width="24" hidden="0" customWidth="1"/>
    <x:col min="6" max="6" width="4" hidden="0" customWidth="1"/>
    <x:col min="7" max="7" width="30" hidden="0" customWidth="1"/>
    <x:col min="8" max="8" width="46" hidden="0" customWidth="1"/>
  </x:cols>
  <x:sheetData>
    <x:row r="1" ht="28" customHeight="1">
      <x:c r="A1" s="3" t="str">
        <x:v>Lookup Lists and Analysis Controls</x:v>
      </x:c>
      <x:c r="B1" s="3" t="str">
        <x:v>Lookup Lists and Analysis Controls</x:v>
      </x:c>
      <x:c r="C1" s="3" t="str">
        <x:v>Lookup Lists and Analysis Controls</x:v>
      </x:c>
      <x:c r="D1" s="3" t="str">
        <x:v>Lookup Lists and Analysis Controls</x:v>
      </x:c>
      <x:c r="E1" s="3" t="str">
        <x:v>Lookup Lists and Analysis Controls</x:v>
      </x:c>
      <x:c r="F1" s="3" t="str">
        <x:v>Lookup Lists and Analysis Controls</x:v>
      </x:c>
      <x:c r="G1" s="3" t="str">
        <x:v>Lookup Lists and Analysis Controls</x:v>
      </x:c>
      <x:c r="H1" s="3" t="str">
        <x:v>Lookup Lists and Analysis Controls</x:v>
      </x:c>
    </x:row>
    <x:row r="2">
      <x:c r="A2" s="199"/>
      <x:c r="B2" s="199"/>
      <x:c r="C2" s="199"/>
      <x:c r="D2" s="199"/>
      <x:c r="E2" s="199"/>
      <x:c r="F2" s="199"/>
      <x:c r="G2" s="199"/>
      <x:c r="H2" s="199"/>
    </x:row>
    <x:row r="3" ht="32" customHeight="1">
      <x:c r="A3" s="80" t="str">
        <x:v>Department Filter</x:v>
      </x:c>
      <x:c r="B3" s="199"/>
      <x:c r="C3" s="80" t="str">
        <x:v>Appointment Status</x:v>
      </x:c>
      <x:c r="D3" s="199"/>
      <x:c r="E3" s="80" t="str">
        <x:v>Resource Availability</x:v>
      </x:c>
      <x:c r="F3" s="199"/>
      <x:c r="G3" s="32" t="str">
        <x:v>Control</x:v>
      </x:c>
      <x:c r="H3" s="33" t="str">
        <x:v>Value</x:v>
      </x:c>
    </x:row>
    <x:row r="4">
      <x:c r="A4" s="199" t="str">
        <x:v>All</x:v>
      </x:c>
      <x:c r="B4" s="199"/>
      <x:c r="C4" s="199" t="str">
        <x:v>Completed</x:v>
      </x:c>
      <x:c r="D4" s="199"/>
      <x:c r="E4" s="199" t="str">
        <x:v>Available</x:v>
      </x:c>
      <x:c r="F4" s="199"/>
      <x:c r="G4" s="199" t="str">
        <x:v>Satisfaction High threshold</x:v>
      </x:c>
      <x:c r="H4" s="216" t="n">
        <x:v>4</x:v>
      </x:c>
    </x:row>
    <x:row r="5">
      <x:c r="A5" s="199" t="str">
        <x:v>Cardiology</x:v>
      </x:c>
      <x:c r="B5" s="199"/>
      <x:c r="C5" s="199" t="str">
        <x:v>No Show</x:v>
      </x:c>
      <x:c r="D5" s="199"/>
      <x:c r="E5" s="199" t="str">
        <x:v>Unavailable</x:v>
      </x:c>
      <x:c r="F5" s="199"/>
      <x:c r="G5" s="199" t="str">
        <x:v>Threshold note</x:v>
      </x:c>
      <x:c r="H5" s="199" t="str">
        <x:v>Lab rule only; survey scale/benchmark not supplied</x:v>
      </x:c>
    </x:row>
    <x:row r="6">
      <x:c r="A6" s="199" t="str">
        <x:v>General</x:v>
      </x:c>
      <x:c r="B6" s="199"/>
      <x:c r="C6" s="199" t="str">
        <x:v>Rescheduled</x:v>
      </x:c>
      <x:c r="D6" s="199"/>
      <x:c r="E6" s="199" t="str">
        <x:v>In Use</x:v>
      </x:c>
      <x:c r="F6" s="199"/>
      <x:c r="G6" s="199"/>
      <x:c r="H6" s="199"/>
    </x:row>
    <x:row r="7">
      <x:c r="A7" s="199" t="str">
        <x:v>Neurology</x:v>
      </x:c>
      <x:c r="B7" s="199"/>
      <x:c r="C7" s="199" t="str">
        <x:v>Cancelled</x:v>
      </x:c>
      <x:c r="D7" s="199"/>
      <x:c r="E7" s="199" t="str">
        <x:v>Under Maintenance</x:v>
      </x:c>
      <x:c r="F7" s="199"/>
      <x:c r="G7" s="199"/>
      <x:c r="H7" s="199"/>
    </x:row>
    <x:row r="8">
      <x:c r="A8" s="199" t="str">
        <x:v>Orthopedics</x:v>
      </x:c>
      <x:c r="B8" s="199"/>
      <x:c r="C8" s="199"/>
      <x:c r="D8" s="199"/>
      <x:c r="E8" s="199"/>
      <x:c r="F8" s="199"/>
      <x:c r="G8" s="199"/>
      <x:c r="H8" s="199"/>
    </x:row>
    <x:row r="9">
      <x:c r="A9" s="199" t="str">
        <x:v>Pediatrics</x:v>
      </x:c>
      <x:c r="B9" s="199"/>
      <x:c r="C9" s="199"/>
      <x:c r="D9" s="199"/>
      <x:c r="E9" s="199"/>
      <x:c r="F9" s="199"/>
      <x:c r="G9" s="199"/>
      <x:c r="H9" s="199"/>
    </x:row>
  </x:sheetData>
  <x:mergeCells>
    <x:mergeCell ref="A1:H1"/>
  </x:mergeCells>
  <x:pageMargins left="0.7" right="0.7" top="0.75" bottom="0.75" header="0.3" footer="0.3"/>
</x:worksheet>
</file>